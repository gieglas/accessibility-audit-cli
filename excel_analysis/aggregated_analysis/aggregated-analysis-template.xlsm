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Ex1.xml" ContentType="application/vnd.ms-office.chartex+xml"/>
  <Override PartName="/xl/charts/style9.xml" ContentType="application/vnd.ms-office.chartstyle+xml"/>
  <Override PartName="/xl/charts/colors9.xml" ContentType="application/vnd.ms-office.chartcolorstyle+xml"/>
  <Override PartName="/xl/charts/chartEx2.xml" ContentType="application/vnd.ms-office.chartex+xml"/>
  <Override PartName="/xl/charts/style10.xml" ContentType="application/vnd.ms-office.chartstyle+xml"/>
  <Override PartName="/xl/charts/colors10.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2.xml" ContentType="application/vnd.openxmlformats-officedocument.drawing+xml"/>
  <Override PartName="/xl/ctrlProps/ctrlProp3.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drawings/drawing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DD97A8EA-9A9A-E61F-A557-7D5A7D7259CE}"/>
  <workbookPr codeName="ThisWorkbook" hidePivotFieldList="1"/>
  <mc:AlternateContent xmlns:mc="http://schemas.openxmlformats.org/markup-compatibility/2006">
    <mc:Choice Requires="x15">
      <x15ac:absPath xmlns:x15ac="http://schemas.microsoft.com/office/spreadsheetml/2010/11/ac" url="C:\Users\constantinos\Documents\code\DSF\ce-accessibility-audit-cli\excel_analysis\aggregated_analysis\"/>
    </mc:Choice>
  </mc:AlternateContent>
  <xr:revisionPtr revIDLastSave="0" documentId="13_ncr:1_{1F44F4FF-7F2C-45F9-B65E-49930200EF7C}" xr6:coauthVersionLast="47" xr6:coauthVersionMax="47" xr10:uidLastSave="{00000000-0000-0000-0000-000000000000}"/>
  <bookViews>
    <workbookView xWindow="-19310" yWindow="-110" windowWidth="19420" windowHeight="11500" xr2:uid="{00000000-000D-0000-FFFF-FFFF00000000}"/>
  </bookViews>
  <sheets>
    <sheet name="Dashboard" sheetId="11" r:id="rId1"/>
    <sheet name="Analysis" sheetId="3" r:id="rId2"/>
    <sheet name="Raw" sheetId="9" r:id="rId3"/>
    <sheet name="Standard" sheetId="5" r:id="rId4"/>
    <sheet name="Instructions" sheetId="10" r:id="rId5"/>
  </sheets>
  <definedNames>
    <definedName name="_xlchart.v2.0" hidden="1">Analysis!$G$38:$G$42</definedName>
    <definedName name="_xlchart.v2.1" hidden="1">Analysis!$I$38:$I$42</definedName>
    <definedName name="_xlchart.v2.2" hidden="1">Analysis!$I$30:$I$34</definedName>
    <definedName name="_xlchart.v2.3" hidden="1">Analysis!$J$30:$J$34</definedName>
    <definedName name="ExternalData_1" localSheetId="2" hidden="1">Raw!$A$1:$D$8</definedName>
    <definedName name="_xlnm.Print_Area" localSheetId="0">Dashboard!$A:$S</definedName>
    <definedName name="Slicer_Criterion___name___EU">#N/A</definedName>
    <definedName name="Slicer_Guideline">#N/A</definedName>
    <definedName name="Slicer_principle">#N/A</definedName>
  </definedNames>
  <calcPr calcId="191029"/>
  <pivotCaches>
    <pivotCache cacheId="109" r:id="rId6"/>
  </pivotCaches>
  <extLst>
    <ext xmlns:x14="http://schemas.microsoft.com/office/spreadsheetml/2009/9/main" uri="{BBE1A952-AA13-448e-AADC-164F8A28A991}">
      <x14:slicerCaches>
        <x14:slicerCache r:id="rId7"/>
        <x14:slicerCache r:id="rId8"/>
        <x14:slicerCache r:id="rId9"/>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2" i="9" l="1"/>
  <c r="E3" i="9"/>
  <c r="E4" i="9"/>
  <c r="E5" i="9"/>
  <c r="E6" i="9"/>
  <c r="E7" i="9"/>
  <c r="E8" i="9"/>
  <c r="F2" i="9"/>
  <c r="F3" i="9"/>
  <c r="F4" i="9"/>
  <c r="F5" i="9"/>
  <c r="F6" i="9"/>
  <c r="F7" i="9"/>
  <c r="F8" i="9"/>
  <c r="G2" i="9"/>
  <c r="G3" i="9"/>
  <c r="G4" i="9"/>
  <c r="G5" i="9"/>
  <c r="G6" i="9"/>
  <c r="G7" i="9"/>
  <c r="G8" i="9"/>
  <c r="M18" i="3" l="1"/>
  <c r="M17" i="3"/>
  <c r="M16" i="3"/>
  <c r="M15" i="3"/>
  <c r="M14" i="3"/>
  <c r="M13" i="3"/>
  <c r="M12" i="3"/>
  <c r="M11" i="3"/>
  <c r="M10" i="3"/>
  <c r="M9" i="3"/>
  <c r="M8" i="3"/>
  <c r="M7" i="3"/>
  <c r="M6" i="3"/>
  <c r="H21" i="3"/>
  <c r="H25" i="3"/>
  <c r="B3" i="11" s="1"/>
  <c r="H24" i="3"/>
  <c r="H3" i="11" s="1"/>
  <c r="H23" i="3"/>
  <c r="F3" i="11" s="1"/>
  <c r="H22" i="3"/>
  <c r="D3" i="11" s="1"/>
  <c r="H9" i="3"/>
  <c r="H8" i="3"/>
  <c r="H7" i="3"/>
  <c r="H6" i="3"/>
  <c r="O10" i="3" l="1"/>
  <c r="G38" i="3" a="1"/>
  <c r="G38" i="3" s="1"/>
  <c r="N12" i="3"/>
  <c r="O18" i="3"/>
  <c r="G30" i="3" a="1"/>
  <c r="G30" i="3" s="1"/>
  <c r="O7" i="3"/>
  <c r="O9" i="3"/>
  <c r="O11" i="3"/>
  <c r="O12" i="3"/>
  <c r="O13" i="3"/>
  <c r="O14" i="3"/>
  <c r="O8" i="3"/>
  <c r="O15" i="3"/>
  <c r="O16" i="3"/>
  <c r="O17" i="3"/>
  <c r="O6" i="3"/>
  <c r="N11" i="3"/>
  <c r="N13" i="3"/>
  <c r="N15" i="3"/>
  <c r="N16" i="3"/>
  <c r="N7" i="3"/>
  <c r="N17" i="3"/>
  <c r="N8" i="3"/>
  <c r="N14" i="3"/>
  <c r="N6" i="3"/>
  <c r="N18" i="3"/>
  <c r="N9" i="3"/>
  <c r="N10" i="3"/>
  <c r="M19" i="3"/>
  <c r="H17" i="3"/>
  <c r="H15" i="3"/>
  <c r="H16" i="3"/>
  <c r="I7" i="3"/>
  <c r="I8" i="3"/>
  <c r="I9" i="3"/>
  <c r="I6" i="3"/>
  <c r="H10" i="3"/>
  <c r="I16" i="3" l="1"/>
  <c r="N19" i="3"/>
  <c r="I17" i="3"/>
  <c r="H18" i="3"/>
  <c r="I15" i="3"/>
  <c r="I10" i="3"/>
  <c r="I18" i="3"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B81F1272-D7EA-44D3-91F8-AEFADAD5FB35}" keepAlive="1" name="Query - AggregatedCsv_Source" description="Connection to the 'AggregatedCsv_Source' query in the workbook." type="5" refreshedVersion="8" saveData="1">
    <dbPr connection="Provider=Microsoft.Mashup.OleDb.1;Data Source=$Workbook$;Location=AggregatedCsv_Source;Extended Properties=&quot;&quot;" command="SELECT * FROM [AggregatedCsv_Source]"/>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<sst xmlns="http://schemas.openxmlformats.org/spreadsheetml/2006/main" count="514" uniqueCount="280">
  <si>
    <t>Total violations</t>
  </si>
  <si>
    <t>Principle</t>
  </si>
  <si>
    <t>Violations</t>
  </si>
  <si>
    <t>principle</t>
  </si>
  <si>
    <t>guidelineId</t>
  </si>
  <si>
    <t>criterionId</t>
  </si>
  <si>
    <t>occurrences</t>
  </si>
  <si>
    <t>Robust</t>
  </si>
  <si>
    <t>4.1</t>
  </si>
  <si>
    <t>4.1.2</t>
  </si>
  <si>
    <t>Perceivable</t>
  </si>
  <si>
    <t>1.1</t>
  </si>
  <si>
    <t>1.1.1</t>
  </si>
  <si>
    <t>1.4</t>
  </si>
  <si>
    <t>1.4.1</t>
  </si>
  <si>
    <t>Operable</t>
  </si>
  <si>
    <t>2.4</t>
  </si>
  <si>
    <t>2.4.4</t>
  </si>
  <si>
    <t>Understandable</t>
  </si>
  <si>
    <t>Row Labels</t>
  </si>
  <si>
    <t>Grand Total</t>
  </si>
  <si>
    <t>Sum of occurrences</t>
  </si>
  <si>
    <t>Percentage</t>
  </si>
  <si>
    <t>Περιγραφή Ρήτρας</t>
  </si>
  <si>
    <t>Κριτήριο WCAG</t>
  </si>
  <si>
    <t>Ρήτρα Ευρωπαϊκού Πρότυπου</t>
  </si>
  <si>
    <t>Επίπεδο Συμμόρφωσης</t>
  </si>
  <si>
    <t>Αρχή</t>
  </si>
  <si>
    <t>Ανάγκη Προσβασιμότητας Χρήστη</t>
  </si>
  <si>
    <t>Non-text content</t>
  </si>
  <si>
    <t>9.1.1.1</t>
  </si>
  <si>
    <t>A</t>
  </si>
  <si>
    <t>P</t>
  </si>
  <si>
    <t>WV, LV, WH, LH, LC</t>
  </si>
  <si>
    <t>Audio-only and video-only (pre-recorded)</t>
  </si>
  <si>
    <t>1.2.1</t>
  </si>
  <si>
    <t>9.1.2.1</t>
  </si>
  <si>
    <t>Captions (pre-recorded)</t>
  </si>
  <si>
    <t>1.2.2</t>
  </si>
  <si>
    <t>9.1.2.2</t>
  </si>
  <si>
    <t>WH, LH, LC</t>
  </si>
  <si>
    <t>Audio description or media alternative (pre-recorded)</t>
  </si>
  <si>
    <t>1.2.3</t>
  </si>
  <si>
    <t>9.1.2.3</t>
  </si>
  <si>
    <t>WV, LV, LC</t>
  </si>
  <si>
    <t>Captions (Live)</t>
  </si>
  <si>
    <t>1.2.4</t>
  </si>
  <si>
    <t>9.1.2.4</t>
  </si>
  <si>
    <t>AA</t>
  </si>
  <si>
    <t>1.2.5</t>
  </si>
  <si>
    <t>9.1.2.5</t>
  </si>
  <si>
    <t>W, LV, LC</t>
  </si>
  <si>
    <t>Info and relationships</t>
  </si>
  <si>
    <t>1.3.1</t>
  </si>
  <si>
    <t>9.1.3.1</t>
  </si>
  <si>
    <t>Meaningful sequence</t>
  </si>
  <si>
    <t>1.3.2</t>
  </si>
  <si>
    <t>9.1.3.2</t>
  </si>
  <si>
    <t>Sensory characteristics</t>
  </si>
  <si>
    <t>1.3.3</t>
  </si>
  <si>
    <t>9.1.3.3</t>
  </si>
  <si>
    <t>WV, LV, WPC, WH, LH, LC</t>
  </si>
  <si>
    <t>Orientation</t>
  </si>
  <si>
    <t>1.3.4</t>
  </si>
  <si>
    <t>9.1.3.4</t>
  </si>
  <si>
    <t>LMS, LR, LC</t>
  </si>
  <si>
    <t>Identify input purpose</t>
  </si>
  <si>
    <t>1.3.5</t>
  </si>
  <si>
    <t>9.1.3.5</t>
  </si>
  <si>
    <t>LV</t>
  </si>
  <si>
    <t>Use of colour</t>
  </si>
  <si>
    <t>9.1.4.1</t>
  </si>
  <si>
    <t>WV, LV, WPC, LC</t>
  </si>
  <si>
    <t>Audio control</t>
  </si>
  <si>
    <t>1.4.2</t>
  </si>
  <si>
    <t>9.1.4.2</t>
  </si>
  <si>
    <t>WV, LH, LC</t>
  </si>
  <si>
    <t>Contrast (minimum)</t>
  </si>
  <si>
    <t>1.4.3</t>
  </si>
  <si>
    <t>9.1.4.3</t>
  </si>
  <si>
    <t>LV, WPC, LC</t>
  </si>
  <si>
    <t>Resize text</t>
  </si>
  <si>
    <t>1.4.4</t>
  </si>
  <si>
    <t>9.1.4.4</t>
  </si>
  <si>
    <t>Images of text</t>
  </si>
  <si>
    <t>1.4.5</t>
  </si>
  <si>
    <t>9.1.4.5</t>
  </si>
  <si>
    <t>Reflow</t>
  </si>
  <si>
    <t>1.4.10</t>
  </si>
  <si>
    <t>9.1.4.10</t>
  </si>
  <si>
    <t>Non-text contrast</t>
  </si>
  <si>
    <t>1.4.11</t>
  </si>
  <si>
    <t>9.1.4.11</t>
  </si>
  <si>
    <t>Text spacing</t>
  </si>
  <si>
    <t>1.4.12</t>
  </si>
  <si>
    <t>9.1.4.12</t>
  </si>
  <si>
    <t>LV, LC</t>
  </si>
  <si>
    <t>Content on hover or focus</t>
  </si>
  <si>
    <t>1.4.13</t>
  </si>
  <si>
    <t>9.1.4.13</t>
  </si>
  <si>
    <t>Keyboard</t>
  </si>
  <si>
    <t>2.1.1</t>
  </si>
  <si>
    <t>9.2.1.1</t>
  </si>
  <si>
    <t>O</t>
  </si>
  <si>
    <t>WV, LV, LMS, WVC</t>
  </si>
  <si>
    <t>No keyboard trap</t>
  </si>
  <si>
    <t>2.1.2</t>
  </si>
  <si>
    <t>9.2.1.2</t>
  </si>
  <si>
    <t>WV, LV, LR, LMS</t>
  </si>
  <si>
    <t>Character key shortcuts</t>
  </si>
  <si>
    <t>2.1.4</t>
  </si>
  <si>
    <t>9.2.1.4</t>
  </si>
  <si>
    <t>Timing adjustable</t>
  </si>
  <si>
    <t>2.2.1</t>
  </si>
  <si>
    <t>9.2.2.1</t>
  </si>
  <si>
    <t>WV, LV, WH, LH, LMS, LC</t>
  </si>
  <si>
    <t>Pause, stop, hide</t>
  </si>
  <si>
    <t>2.2.2</t>
  </si>
  <si>
    <t>9.2.2.2</t>
  </si>
  <si>
    <t>Three flashes or below threshold</t>
  </si>
  <si>
    <t>2.3.1</t>
  </si>
  <si>
    <t>9.2.3.1</t>
  </si>
  <si>
    <t>PST</t>
  </si>
  <si>
    <t>Bypass blocks</t>
  </si>
  <si>
    <t>2.4.1</t>
  </si>
  <si>
    <t>9.2.4.1</t>
  </si>
  <si>
    <t>WV, LV, LR, LC, WVC</t>
  </si>
  <si>
    <t>Page titled</t>
  </si>
  <si>
    <t>2.4.2</t>
  </si>
  <si>
    <t>9.2.4.2</t>
  </si>
  <si>
    <t>WV, LV, LMS, LC</t>
  </si>
  <si>
    <t>Focus order</t>
  </si>
  <si>
    <t>2.4.3</t>
  </si>
  <si>
    <t>9.2.4.3</t>
  </si>
  <si>
    <t>Link purpose (in context)</t>
  </si>
  <si>
    <t>9.2.4.4</t>
  </si>
  <si>
    <t>WV, LV, LMS, LC, WVC</t>
  </si>
  <si>
    <t>Multiple ways</t>
  </si>
  <si>
    <t>2.4.5</t>
  </si>
  <si>
    <t>9.2.4.5</t>
  </si>
  <si>
    <t>Headings and labels</t>
  </si>
  <si>
    <t>2.4.6</t>
  </si>
  <si>
    <t>9.2.4.6</t>
  </si>
  <si>
    <t>WV, LV, LMS, LC, WH, WVC</t>
  </si>
  <si>
    <t>Focus visible</t>
  </si>
  <si>
    <t>2.4.7</t>
  </si>
  <si>
    <t>9.2.4.7</t>
  </si>
  <si>
    <t>Pointer gestures</t>
  </si>
  <si>
    <t>2.5.1</t>
  </si>
  <si>
    <t>9.2.5.1</t>
  </si>
  <si>
    <t>Pointer cancellation</t>
  </si>
  <si>
    <t>2.5.2</t>
  </si>
  <si>
    <t>9.2.5.2</t>
  </si>
  <si>
    <t>LV, LMS, LR, LC</t>
  </si>
  <si>
    <t>Label in name</t>
  </si>
  <si>
    <t>2.5.3</t>
  </si>
  <si>
    <t>9.2.5.3</t>
  </si>
  <si>
    <t>Motion actuation</t>
  </si>
  <si>
    <t>2.5.4</t>
  </si>
  <si>
    <t>9.2.5.4</t>
  </si>
  <si>
    <t>LMS, LR, WV, LV, LC</t>
  </si>
  <si>
    <t>Language of page</t>
  </si>
  <si>
    <t>3.1.1</t>
  </si>
  <si>
    <t>9.3.1.1</t>
  </si>
  <si>
    <t>U</t>
  </si>
  <si>
    <t>Language of parts</t>
  </si>
  <si>
    <t>3.1.2</t>
  </si>
  <si>
    <t>9.3.1.2</t>
  </si>
  <si>
    <t>On focus</t>
  </si>
  <si>
    <t>3.2.1</t>
  </si>
  <si>
    <t>9.3.2.1</t>
  </si>
  <si>
    <t>On input</t>
  </si>
  <si>
    <t>3.2.2</t>
  </si>
  <si>
    <t>9.3.2.2</t>
  </si>
  <si>
    <t>Consistent navigation</t>
  </si>
  <si>
    <t>3.2.3</t>
  </si>
  <si>
    <t>9.3.2.3</t>
  </si>
  <si>
    <t>Consistent identification</t>
  </si>
  <si>
    <t>3.2.4</t>
  </si>
  <si>
    <t>9.3.2.4</t>
  </si>
  <si>
    <t>LV, LC, WV</t>
  </si>
  <si>
    <t>Error identification</t>
  </si>
  <si>
    <t>3.3.1</t>
  </si>
  <si>
    <t>9.3.3.1</t>
  </si>
  <si>
    <t>Labels or instructions</t>
  </si>
  <si>
    <t>3.3.2</t>
  </si>
  <si>
    <t>9.3.3.2</t>
  </si>
  <si>
    <t>WV, LV, LC, WVC, LMS</t>
  </si>
  <si>
    <t>Error suggestion</t>
  </si>
  <si>
    <t>3.3.3</t>
  </si>
  <si>
    <t>9.3.3.3</t>
  </si>
  <si>
    <t>Error prevention (legal, financial, data)</t>
  </si>
  <si>
    <t>3.3.4</t>
  </si>
  <si>
    <t>9.3.3.4</t>
  </si>
  <si>
    <t>WV, LV, LC, LMS</t>
  </si>
  <si>
    <t>Parsing</t>
  </si>
  <si>
    <t>4.1.1</t>
  </si>
  <si>
    <t>9.4.1.1</t>
  </si>
  <si>
    <t>R</t>
  </si>
  <si>
    <t>WV, LV</t>
  </si>
  <si>
    <t>Name, role, value</t>
  </si>
  <si>
    <t>9.4.1.2</t>
  </si>
  <si>
    <t>WV, LV, LMS</t>
  </si>
  <si>
    <t>Status messages</t>
  </si>
  <si>
    <t>4.1.3</t>
  </si>
  <si>
    <t>9.4.1.3</t>
  </si>
  <si>
    <t>WV, LV, WPC, WH, LH, LMS, LR, PST, LC, WVC</t>
  </si>
  <si>
    <t>Criterion - name - EU</t>
  </si>
  <si>
    <t>2.4.4 - Link purpose (in context) - 9.2.4.4</t>
  </si>
  <si>
    <t>1.1.1 - Non-text content - 9.1.1.1</t>
  </si>
  <si>
    <t>1.4.1 - Use of colour - 9.1.4.1</t>
  </si>
  <si>
    <t>4.1.2 - Name, role, value - 9.4.1.2</t>
  </si>
  <si>
    <t>Guideline</t>
  </si>
  <si>
    <t>Text Alternatives</t>
  </si>
  <si>
    <t>Time-based Media</t>
  </si>
  <si>
    <t>Adaptable</t>
  </si>
  <si>
    <t>Distinguishable</t>
  </si>
  <si>
    <t>Enough Time</t>
  </si>
  <si>
    <t>Seizures and Physical Reactions</t>
  </si>
  <si>
    <t>Navigable</t>
  </si>
  <si>
    <t>Input Modalities</t>
  </si>
  <si>
    <t>Readable</t>
  </si>
  <si>
    <t>Predictable</t>
  </si>
  <si>
    <t>Input Assistance</t>
  </si>
  <si>
    <t>Compatible</t>
  </si>
  <si>
    <t>3.1</t>
  </si>
  <si>
    <t>2.1</t>
  </si>
  <si>
    <t>2.1.1 - Keyboard - 9.2.1.1</t>
  </si>
  <si>
    <t>1.4.3 - Contrast (minimum) - 9.1.4.3</t>
  </si>
  <si>
    <t>3.1.1 - Language of page - 9.3.1.1</t>
  </si>
  <si>
    <t>Violations per principle</t>
  </si>
  <si>
    <t>Level</t>
  </si>
  <si>
    <t>Volations per level</t>
  </si>
  <si>
    <t>AAA</t>
  </si>
  <si>
    <t>Status</t>
  </si>
  <si>
    <t>Total criteria found</t>
  </si>
  <si>
    <t>Total guidelines found</t>
  </si>
  <si>
    <t>Total principles found</t>
  </si>
  <si>
    <t>How to changes source file</t>
  </si>
  <si>
    <t>Sample source file (csv)</t>
  </si>
  <si>
    <t>2.4 - Navigable</t>
  </si>
  <si>
    <t>1.1 - Text Alternatives</t>
  </si>
  <si>
    <t>1.4 - Distinguishable</t>
  </si>
  <si>
    <t>4.1 - Compatible</t>
  </si>
  <si>
    <t>3.1 - Readable</t>
  </si>
  <si>
    <t>Per criterion</t>
  </si>
  <si>
    <t>Criteria Analysis</t>
  </si>
  <si>
    <t>Per guideline</t>
  </si>
  <si>
    <t>Pivot table Analysis</t>
  </si>
  <si>
    <t>Overall Analysis</t>
  </si>
  <si>
    <t>Summary</t>
  </si>
  <si>
    <t>Total Violations</t>
  </si>
  <si>
    <t>Per Principle</t>
  </si>
  <si>
    <t>Per Level</t>
  </si>
  <si>
    <t>Guideline Analysis</t>
  </si>
  <si>
    <t>Top occurences</t>
  </si>
  <si>
    <t>Guideline Id</t>
  </si>
  <si>
    <t>Citeria Id</t>
  </si>
  <si>
    <t>Occurences</t>
  </si>
  <si>
    <t>Top 5 criteria</t>
  </si>
  <si>
    <t>Violations per guideline</t>
  </si>
  <si>
    <t>1.2</t>
  </si>
  <si>
    <t>1.3</t>
  </si>
  <si>
    <t>2.2</t>
  </si>
  <si>
    <t>2.3</t>
  </si>
  <si>
    <t>2.5</t>
  </si>
  <si>
    <t>3.2</t>
  </si>
  <si>
    <t>3.3</t>
  </si>
  <si>
    <t>Guideline id</t>
  </si>
  <si>
    <t>1.2 - Time-based Media</t>
  </si>
  <si>
    <t>1.3 - Adaptable</t>
  </si>
  <si>
    <t>2.1 - Keyboard Accessible</t>
  </si>
  <si>
    <t>Keyboard Accessible</t>
  </si>
  <si>
    <t>2.2 - Enough Time</t>
  </si>
  <si>
    <t>2.3 - Seizures and Physical Reactions</t>
  </si>
  <si>
    <t>2.5 - Input Modalities</t>
  </si>
  <si>
    <t>3.2 - Predictable</t>
  </si>
  <si>
    <t>3.3 - Input Assistance</t>
  </si>
  <si>
    <t>Top 5 gudelines</t>
  </si>
  <si>
    <t>Top 5 guidelines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</si>
</sst>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0" x14ac:knownFonts="1">
    <font>
      <sz val="11"/>
      <color theme="1"/>
      <name val="Calibri"/>
      <family val="2"/>
      <scheme val="minor"/>
    </font>
    <font>
      <sz val="12"/>
      <color theme="1"/>
      <name val="Calibri"/>
      <family val="2"/>
      <scheme val="minor"/>
    </font>
    <font>
      <b/>
      <sz val="12"/>
      <color theme="1"/>
      <name val="Calibri"/>
      <family val="2"/>
      <scheme val="minor"/>
    </font>
    <font>
      <b/>
      <sz val="12"/>
      <color rgb="FFFFFFFF"/>
      <name val="Calibri"/>
      <family val="2"/>
      <scheme val="minor"/>
    </font>
    <font>
      <b/>
      <sz val="12"/>
      <color rgb="FF000000"/>
      <name val="Calibri"/>
      <family val="2"/>
      <scheme val="minor"/>
    </font>
    <font>
      <sz val="12"/>
      <color rgb="FF000000"/>
      <name val="Calibri"/>
      <family val="2"/>
      <scheme val="minor"/>
    </font>
    <font>
      <b/>
      <sz val="11"/>
      <color theme="1"/>
      <name val="Calibri"/>
      <family val="2"/>
      <scheme val="minor"/>
    </font>
    <font>
      <sz val="11"/>
      <color rgb="FF000000"/>
      <name val="Calibri"/>
      <family val="2"/>
    </font>
    <font>
      <b/>
      <sz val="14"/>
      <color theme="1"/>
      <name val="Calibri"/>
      <family val="2"/>
      <scheme val="minor"/>
    </font>
    <font>
      <sz val="36"/>
      <color theme="1"/>
      <name val="Calibri"/>
      <family val="2"/>
      <scheme val="minor"/>
    </font>
  </fonts>
  <fills count="6">
    <fill>
      <patternFill patternType="none"/>
    </fill>
    <fill>
      <patternFill patternType="gray125"/>
    </fill>
    <fill>
      <patternFill patternType="solid">
        <fgColor rgb="FF4472C4"/>
        <bgColor indexed="64"/>
      </patternFill>
    </fill>
    <fill>
      <patternFill patternType="solid">
        <fgColor rgb="FFD9E2F3"/>
        <bgColor indexed="64"/>
      </patternFill>
    </fill>
    <fill>
      <patternFill patternType="solid">
        <fgColor theme="0" tint="-4.9989318521683403E-2"/>
        <bgColor indexed="64"/>
      </patternFill>
    </fill>
    <fill>
      <patternFill patternType="solid">
        <fgColor theme="0"/>
        <bgColor indexed="64"/>
      </patternFill>
    </fill>
  </fills>
  <borders count="7">
    <border>
      <left/>
      <right/>
      <top/>
      <bottom/>
      <diagonal/>
    </border>
    <border>
      <left style="medium">
        <color rgb="FF8EAADB"/>
      </left>
      <right style="medium">
        <color rgb="FF8EAADB"/>
      </right>
      <top/>
      <bottom style="medium">
        <color rgb="FF8EAADB"/>
      </bottom>
      <diagonal/>
    </border>
    <border>
      <left/>
      <right style="medium">
        <color rgb="FF8EAADB"/>
      </right>
      <top/>
      <bottom style="medium">
        <color rgb="FF8EAADB"/>
      </bottom>
      <diagonal/>
    </border>
    <border>
      <left style="medium">
        <color rgb="FF8EAADB"/>
      </left>
      <right style="medium">
        <color rgb="FF8EAADB"/>
      </right>
      <top/>
      <bottom/>
      <diagonal/>
    </border>
    <border>
      <left/>
      <right style="medium">
        <color rgb="FF8EAADB"/>
      </right>
      <top/>
      <bottom/>
      <diagonal/>
    </border>
    <border>
      <left style="medium">
        <color rgb="FF8EAADB"/>
      </left>
      <right style="medium">
        <color rgb="FF8EAADB"/>
      </right>
      <top style="medium">
        <color rgb="FF8EAADB"/>
      </top>
      <bottom/>
      <diagonal/>
    </border>
    <border>
      <left/>
      <right/>
      <top/>
      <bottom style="thin">
        <color theme="0" tint="-0.14999847407452621"/>
      </bottom>
      <diagonal/>
    </border>
  </borders>
  <cellStyleXfs count="1">
    <xf numFmtId="0" fontId="0" fillId="0" borderId="0"/>
  </cellStyleXfs>
  <cellXfs count="25">
    <xf numFmtId="0" fontId="0" fillId="0" borderId="0" xfId="0"/>
    <xf numFmtId="0" fontId="0" fillId="0" borderId="0" xfId="0" pivotButton="1"/>
    <xf numFmtId="0" fontId="0" fillId="0" borderId="0" xfId="0" applyAlignment="1">
      <alignment horizontal="left"/>
    </xf>
    <xf numFmtId="0" fontId="0" fillId="0" borderId="0" xfId="0" applyAlignment="1">
      <alignment horizontal="left" indent="1"/>
    </xf>
    <xf numFmtId="0" fontId="0" fillId="0" borderId="0" xfId="0" applyAlignment="1">
      <alignment horizontal="left" indent="2"/>
    </xf>
    <xf numFmtId="10" fontId="0" fillId="0" borderId="0" xfId="0" applyNumberFormat="1"/>
    <xf numFmtId="0" fontId="4" fillId="3" borderId="1" xfId="0" applyFont="1" applyFill="1" applyBorder="1" applyAlignment="1">
      <alignment vertical="center" wrapText="1"/>
    </xf>
    <xf numFmtId="0" fontId="5" fillId="3" borderId="2" xfId="0" applyFont="1" applyFill="1" applyBorder="1" applyAlignment="1">
      <alignment vertical="center" wrapText="1"/>
    </xf>
    <xf numFmtId="0" fontId="2" fillId="0" borderId="1" xfId="0" applyFont="1" applyBorder="1" applyAlignment="1">
      <alignment vertical="center" wrapText="1"/>
    </xf>
    <xf numFmtId="0" fontId="1" fillId="0" borderId="2" xfId="0" applyFont="1" applyBorder="1" applyAlignment="1">
      <alignment vertical="center" wrapText="1"/>
    </xf>
    <xf numFmtId="0" fontId="2" fillId="0" borderId="3" xfId="0" applyFont="1" applyBorder="1" applyAlignment="1">
      <alignment vertical="center" wrapText="1"/>
    </xf>
    <xf numFmtId="0" fontId="1" fillId="0" borderId="4" xfId="0" applyFont="1" applyBorder="1" applyAlignment="1">
      <alignment vertical="center" wrapText="1"/>
    </xf>
    <xf numFmtId="0" fontId="3" fillId="2" borderId="0" xfId="0" applyFont="1" applyFill="1" applyAlignment="1">
      <alignment vertical="center" wrapText="1"/>
    </xf>
    <xf numFmtId="0" fontId="1" fillId="0" borderId="5" xfId="0" applyFont="1" applyBorder="1" applyAlignment="1">
      <alignment vertical="center" wrapText="1"/>
    </xf>
    <xf numFmtId="0" fontId="0" fillId="0" borderId="0" xfId="0" applyAlignment="1">
      <alignment wrapText="1"/>
    </xf>
    <xf numFmtId="0" fontId="6" fillId="0" borderId="0" xfId="0" applyFont="1"/>
    <xf numFmtId="10" fontId="6" fillId="0" borderId="0" xfId="0" applyNumberFormat="1" applyFont="1"/>
    <xf numFmtId="0" fontId="8" fillId="0" borderId="0" xfId="0" applyFont="1"/>
    <xf numFmtId="0" fontId="6" fillId="0" borderId="0" xfId="0" applyFont="1" applyAlignment="1">
      <alignment vertical="center"/>
    </xf>
    <xf numFmtId="0" fontId="0" fillId="4" borderId="0" xfId="0" applyFill="1"/>
    <xf numFmtId="0" fontId="6" fillId="5" borderId="6" xfId="0" applyFont="1" applyFill="1" applyBorder="1" applyAlignment="1">
      <alignment vertical="center"/>
    </xf>
    <xf numFmtId="0" fontId="9" fillId="5" borderId="0" xfId="0" applyFont="1" applyFill="1" applyAlignment="1">
      <alignment horizontal="center" vertical="center"/>
    </xf>
    <xf numFmtId="0" fontId="6" fillId="5" borderId="0" xfId="0" applyFont="1" applyFill="1" applyAlignment="1">
      <alignment horizontal="left"/>
    </xf>
    <xf numFmtId="0" fontId="6" fillId="5" borderId="0" xfId="0" applyFont="1" applyFill="1" applyAlignment="1">
      <alignment horizontal="center" vertical="center"/>
    </xf>
    <xf numFmtId="0" fontId="8" fillId="0" borderId="0" xfId="0" applyFont="1" applyAlignment="1">
      <alignment horizontal="left" vertical="center"/>
    </xf>
  </cellXfs>
  <cellStyles count="1">
    <cellStyle name="Normal" xfId="0" builtinId="0"/>
  </cellStyles>
  <dxfs count="18">
    <dxf>
      <font>
        <b val="0"/>
        <i val="0"/>
        <strike val="0"/>
        <condense val="0"/>
        <extend val="0"/>
        <outline val="0"/>
        <shadow val="0"/>
        <u val="none"/>
        <vertAlign val="baseline"/>
        <sz val="12"/>
        <color theme="1"/>
        <name val="Calibri"/>
        <family val="2"/>
        <scheme val="minor"/>
      </font>
      <alignment horizontal="general" vertical="center" textRotation="0" wrapText="1" indent="0" justifyLastLine="0" shrinkToFit="0" readingOrder="0"/>
      <border diagonalUp="0" diagonalDown="0">
        <left/>
        <right style="medium">
          <color rgb="FF8EAADB"/>
        </right>
        <top/>
        <bottom style="medium">
          <color rgb="FF8EAADB"/>
        </bottom>
      </border>
    </dxf>
    <dxf>
      <font>
        <b val="0"/>
        <i val="0"/>
        <strike val="0"/>
        <condense val="0"/>
        <extend val="0"/>
        <outline val="0"/>
        <shadow val="0"/>
        <u val="none"/>
        <vertAlign val="baseline"/>
        <sz val="12"/>
        <color theme="1"/>
        <name val="Calibri"/>
        <family val="2"/>
        <scheme val="minor"/>
      </font>
      <alignment horizontal="general" vertical="center" textRotation="0" wrapText="1" indent="0" justifyLastLine="0" shrinkToFit="0" readingOrder="0"/>
      <border diagonalUp="0" diagonalDown="0" outline="0">
        <left/>
        <right style="medium">
          <color rgb="FF8EAADB"/>
        </right>
        <top/>
        <bottom style="medium">
          <color rgb="FF8EAADB"/>
        </bottom>
      </border>
    </dxf>
    <dxf>
      <font>
        <b val="0"/>
        <i val="0"/>
        <strike val="0"/>
        <condense val="0"/>
        <extend val="0"/>
        <outline val="0"/>
        <shadow val="0"/>
        <u val="none"/>
        <vertAlign val="baseline"/>
        <sz val="12"/>
        <color theme="1"/>
        <name val="Calibri"/>
        <family val="2"/>
        <scheme val="minor"/>
      </font>
      <alignment horizontal="general" vertical="center" textRotation="0" wrapText="1" indent="0" justifyLastLine="0" shrinkToFit="0" readingOrder="0"/>
      <border diagonalUp="0" diagonalDown="0" outline="0">
        <left/>
        <right style="medium">
          <color rgb="FF8EAADB"/>
        </right>
        <top/>
        <bottom style="medium">
          <color rgb="FF8EAADB"/>
        </bottom>
      </border>
    </dxf>
    <dxf>
      <font>
        <b val="0"/>
        <i val="0"/>
        <strike val="0"/>
        <condense val="0"/>
        <extend val="0"/>
        <outline val="0"/>
        <shadow val="0"/>
        <u val="none"/>
        <vertAlign val="baseline"/>
        <sz val="12"/>
        <color theme="1"/>
        <name val="Calibri"/>
        <family val="2"/>
        <scheme val="minor"/>
      </font>
      <alignment horizontal="general" vertical="center" textRotation="0" wrapText="1" indent="0" justifyLastLine="0" shrinkToFit="0" readingOrder="0"/>
      <border diagonalUp="0" diagonalDown="0" outline="0">
        <left/>
        <right style="medium">
          <color rgb="FF8EAADB"/>
        </right>
        <top/>
        <bottom style="medium">
          <color rgb="FF8EAADB"/>
        </bottom>
      </border>
    </dxf>
    <dxf>
      <font>
        <b val="0"/>
        <i val="0"/>
        <strike val="0"/>
        <condense val="0"/>
        <extend val="0"/>
        <outline val="0"/>
        <shadow val="0"/>
        <u val="none"/>
        <vertAlign val="baseline"/>
        <sz val="12"/>
        <color theme="1"/>
        <name val="Calibri"/>
        <family val="2"/>
        <scheme val="minor"/>
      </font>
      <alignment horizontal="general" vertical="center" textRotation="0" wrapText="1" indent="0" justifyLastLine="0" shrinkToFit="0" readingOrder="0"/>
      <border diagonalUp="0" diagonalDown="0" outline="0">
        <left/>
        <right style="medium">
          <color rgb="FF8EAADB"/>
        </right>
        <top/>
        <bottom style="medium">
          <color rgb="FF8EAADB"/>
        </bottom>
      </border>
    </dxf>
    <dxf>
      <font>
        <b val="0"/>
        <i val="0"/>
        <strike val="0"/>
        <condense val="0"/>
        <extend val="0"/>
        <outline val="0"/>
        <shadow val="0"/>
        <u val="none"/>
        <vertAlign val="baseline"/>
        <sz val="12"/>
        <color theme="1"/>
        <name val="Calibri"/>
        <family val="2"/>
        <scheme val="minor"/>
      </font>
      <alignment horizontal="general" vertical="center" textRotation="0" wrapText="1" indent="0" justifyLastLine="0" shrinkToFit="0" readingOrder="0"/>
      <border diagonalUp="0" diagonalDown="0" outline="0">
        <left/>
        <right style="medium">
          <color rgb="FF8EAADB"/>
        </right>
        <top/>
        <bottom style="medium">
          <color rgb="FF8EAADB"/>
        </bottom>
      </border>
    </dxf>
    <dxf>
      <font>
        <b/>
        <i val="0"/>
        <strike val="0"/>
        <condense val="0"/>
        <extend val="0"/>
        <outline val="0"/>
        <shadow val="0"/>
        <u val="none"/>
        <vertAlign val="baseline"/>
        <sz val="12"/>
        <color theme="1"/>
        <name val="Calibri"/>
        <family val="2"/>
        <scheme val="minor"/>
      </font>
      <alignment horizontal="general" vertical="center" textRotation="0" wrapText="1" indent="0" justifyLastLine="0" shrinkToFit="0" readingOrder="0"/>
      <border diagonalUp="0" diagonalDown="0" outline="0">
        <left style="medium">
          <color rgb="FF8EAADB"/>
        </left>
        <right style="medium">
          <color rgb="FF8EAADB"/>
        </right>
        <top/>
        <bottom style="medium">
          <color rgb="FF8EAADB"/>
        </bottom>
      </border>
    </dxf>
    <dxf>
      <border outline="0">
        <bottom style="medium">
          <color rgb="FF8EAADB"/>
        </bottom>
      </border>
    </dxf>
    <dxf>
      <font>
        <b val="0"/>
        <i val="0"/>
        <strike val="0"/>
        <condense val="0"/>
        <extend val="0"/>
        <outline val="0"/>
        <shadow val="0"/>
        <u val="none"/>
        <vertAlign val="baseline"/>
        <sz val="12"/>
        <color theme="1"/>
        <name val="Calibri"/>
        <family val="2"/>
        <scheme val="minor"/>
      </font>
      <alignment horizontal="general" vertical="center" textRotation="0" wrapText="1" indent="0" justifyLastLine="0" shrinkToFit="0" readingOrder="0"/>
    </dxf>
    <dxf>
      <font>
        <b/>
        <i val="0"/>
        <strike val="0"/>
        <condense val="0"/>
        <extend val="0"/>
        <outline val="0"/>
        <shadow val="0"/>
        <u val="none"/>
        <vertAlign val="baseline"/>
        <sz val="12"/>
        <color rgb="FFFFFFFF"/>
        <name val="Calibri"/>
        <family val="2"/>
        <scheme val="minor"/>
      </font>
      <fill>
        <patternFill patternType="solid">
          <fgColor indexed="64"/>
          <bgColor rgb="FF4472C4"/>
        </patternFill>
      </fill>
      <alignment horizontal="general" vertical="center" textRotation="0" wrapText="1"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font>
        <color rgb="FF006100"/>
      </font>
      <fill>
        <patternFill>
          <bgColor rgb="FFC6EFCE"/>
        </patternFill>
      </fill>
    </dxf>
    <dxf>
      <font>
        <color rgb="FF9C0006"/>
      </font>
      <fill>
        <patternFill>
          <bgColor rgb="FFFFC7CE"/>
        </patternFill>
      </fill>
    </dxf>
  </dxfs>
  <tableStyles count="1" defaultTableStyle="TableStyleMedium9" defaultPivotStyle="PivotStyleLight16">
    <tableStyle name="Standard" pivot="0" count="0" xr9:uid="{48E45533-7B51-4105-BD93-0C8A0568F347}"/>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2.xml"/><Relationship Id="rId13" Type="http://schemas.openxmlformats.org/officeDocument/2006/relationships/sharedStrings" Target="sharedStrings.xml"/><Relationship Id="rId3" Type="http://schemas.openxmlformats.org/officeDocument/2006/relationships/worksheet" Target="worksheets/sheet3.xml"/><Relationship Id="rId7" Type="http://schemas.microsoft.com/office/2007/relationships/slicerCache" Target="slicerCaches/slicerCache1.xml"/><Relationship Id="rId12" Type="http://schemas.openxmlformats.org/officeDocument/2006/relationships/styles" Target="style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theme" Target="theme/theme1.xml"/><Relationship Id="rId4" Type="http://schemas.openxmlformats.org/officeDocument/2006/relationships/worksheet" Target="worksheets/sheet4.xml"/><Relationship Id="rId9" Type="http://schemas.microsoft.com/office/2007/relationships/slicerCache" Target="slicerCaches/slicerCache3.xml"/><Relationship Id="rId14"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Ex1.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Ex2.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[aggregated-analysis-template.xlsm]Analysis!PivotTable1</c:name>
    <c:fmtId val="19"/>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Analysis!$B$4</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Analysis!$A$5:$A$22</c:f>
              <c:multiLvlStrCache>
                <c:ptCount val="7"/>
                <c:lvl>
                  <c:pt idx="0">
                    <c:v>2.4.4 - Link purpose (in context) - 9.2.4.4</c:v>
                  </c:pt>
                  <c:pt idx="1">
                    <c:v>2.1.1 - Keyboard - 9.2.1.1</c:v>
                  </c:pt>
                  <c:pt idx="2">
                    <c:v>1.1.1 - Non-text content - 9.1.1.1</c:v>
                  </c:pt>
                  <c:pt idx="3">
                    <c:v>1.4.1 - Use of colour - 9.1.4.1</c:v>
                  </c:pt>
                  <c:pt idx="4">
                    <c:v>1.4.3 - Contrast (minimum) - 9.1.4.3</c:v>
                  </c:pt>
                  <c:pt idx="5">
                    <c:v>4.1.2 - Name, role, value - 9.4.1.2</c:v>
                  </c:pt>
                  <c:pt idx="6">
                    <c:v>3.1.1 - Language of page - 9.3.1.1</c:v>
                  </c:pt>
                </c:lvl>
                <c:lvl>
                  <c:pt idx="0">
                    <c:v>2.4</c:v>
                  </c:pt>
                  <c:pt idx="1">
                    <c:v>2.1</c:v>
                  </c:pt>
                  <c:pt idx="2">
                    <c:v>1.1</c:v>
                  </c:pt>
                  <c:pt idx="3">
                    <c:v>1.4</c:v>
                  </c:pt>
                  <c:pt idx="5">
                    <c:v>4.1</c:v>
                  </c:pt>
                  <c:pt idx="6">
                    <c:v>3.1</c:v>
                  </c:pt>
                </c:lvl>
                <c:lvl>
                  <c:pt idx="0">
                    <c:v>Operable</c:v>
                  </c:pt>
                  <c:pt idx="2">
                    <c:v>Perceivable</c:v>
                  </c:pt>
                  <c:pt idx="5">
                    <c:v>Robust</c:v>
                  </c:pt>
                  <c:pt idx="6">
                    <c:v>Understandable</c:v>
                  </c:pt>
                </c:lvl>
              </c:multiLvlStrCache>
            </c:multiLvlStrRef>
          </c:cat>
          <c:val>
            <c:numRef>
              <c:f>Analysis!$B$5:$B$22</c:f>
              <c:numCache>
                <c:formatCode>General</c:formatCode>
                <c:ptCount val="7"/>
                <c:pt idx="0">
                  <c:v>1</c:v>
                </c:pt>
                <c:pt idx="1">
                  <c:v>3</c:v>
                </c:pt>
                <c:pt idx="2">
                  <c:v>7</c:v>
                </c:pt>
                <c:pt idx="3">
                  <c:v>7</c:v>
                </c:pt>
                <c:pt idx="4">
                  <c:v>42</c:v>
                </c:pt>
                <c:pt idx="5">
                  <c:v>11</c:v>
                </c:pt>
                <c:pt idx="6">
                  <c:v>100</c:v>
                </c:pt>
              </c:numCache>
            </c:numRef>
          </c:val>
          <c:extLst>
            <c:ext xmlns:c16="http://schemas.microsoft.com/office/drawing/2014/chart" uri="{C3380CC4-5D6E-409C-BE32-E72D297353CC}">
              <c16:uniqueId val="{00000000-32DE-40EB-B0AD-27A3676240FF}"/>
            </c:ext>
          </c:extLst>
        </c:ser>
        <c:dLbls>
          <c:dLblPos val="outEnd"/>
          <c:showLegendKey val="0"/>
          <c:showVal val="1"/>
          <c:showCatName val="0"/>
          <c:showSerName val="0"/>
          <c:showPercent val="0"/>
          <c:showBubbleSize val="0"/>
        </c:dLbls>
        <c:gapWidth val="182"/>
        <c:axId val="1247008496"/>
        <c:axId val="1247008976"/>
      </c:barChart>
      <c:catAx>
        <c:axId val="1247008496"/>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7008976"/>
        <c:crosses val="autoZero"/>
        <c:auto val="1"/>
        <c:lblAlgn val="ctr"/>
        <c:lblOffset val="100"/>
        <c:noMultiLvlLbl val="0"/>
      </c:catAx>
      <c:valAx>
        <c:axId val="12470089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700849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[aggregated-analysis-template.xlsm]Analysis!PivotTable1</c:name>
    <c:fmtId val="20"/>
  </c:pivotSource>
  <c:chart>
    <c:autoTitleDeleted val="1"/>
    <c:pivotFmts>
      <c:pivotFmt>
        <c:idx val="0"/>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pivotFmt>
      <c:pivotFmt>
        <c:idx val="18"/>
        <c:spPr>
          <a:solidFill>
            <a:schemeClr val="accent1"/>
          </a:solidFill>
          <a:ln w="19050">
            <a:solidFill>
              <a:schemeClr val="lt1"/>
            </a:solidFill>
          </a:ln>
          <a:effectLst/>
        </c:spPr>
      </c:pivotFmt>
      <c:pivotFmt>
        <c:idx val="19"/>
        <c:spPr>
          <a:solidFill>
            <a:schemeClr val="accent1"/>
          </a:solidFill>
          <a:ln w="19050">
            <a:solidFill>
              <a:schemeClr val="lt1"/>
            </a:solidFill>
          </a:ln>
          <a:effectLst/>
        </c:spPr>
      </c:pivotFmt>
      <c:pivotFmt>
        <c:idx val="20"/>
        <c:spPr>
          <a:solidFill>
            <a:schemeClr val="accent1"/>
          </a:solidFill>
          <a:ln w="19050">
            <a:solidFill>
              <a:schemeClr val="lt1"/>
            </a:solidFill>
          </a:ln>
          <a:effectLst/>
        </c:spPr>
      </c:pivotFmt>
      <c:pivotFmt>
        <c:idx val="21"/>
        <c:spPr>
          <a:solidFill>
            <a:schemeClr val="accent1"/>
          </a:solidFill>
          <a:ln w="19050">
            <a:solidFill>
              <a:schemeClr val="lt1"/>
            </a:solidFill>
          </a:ln>
          <a:effectLst/>
        </c:spPr>
      </c:pivotFmt>
      <c:pivotFmt>
        <c:idx val="22"/>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3"/>
        <c:spPr>
          <a:solidFill>
            <a:schemeClr val="accent1"/>
          </a:solidFill>
          <a:ln w="19050">
            <a:solidFill>
              <a:schemeClr val="lt1"/>
            </a:solidFill>
          </a:ln>
          <a:effectLst/>
        </c:spPr>
      </c:pivotFmt>
      <c:pivotFmt>
        <c:idx val="24"/>
        <c:spPr>
          <a:solidFill>
            <a:schemeClr val="accent1"/>
          </a:solidFill>
          <a:ln w="19050">
            <a:solidFill>
              <a:schemeClr val="lt1"/>
            </a:solidFill>
          </a:ln>
          <a:effectLst/>
        </c:spPr>
      </c:pivotFmt>
      <c:pivotFmt>
        <c:idx val="25"/>
        <c:spPr>
          <a:solidFill>
            <a:schemeClr val="accent1"/>
          </a:solidFill>
          <a:ln w="19050">
            <a:solidFill>
              <a:schemeClr val="lt1"/>
            </a:solidFill>
          </a:ln>
          <a:effectLst/>
        </c:spPr>
      </c:pivotFmt>
      <c:pivotFmt>
        <c:idx val="26"/>
        <c:spPr>
          <a:solidFill>
            <a:schemeClr val="accent1"/>
          </a:solidFill>
          <a:ln w="19050">
            <a:solidFill>
              <a:schemeClr val="lt1"/>
            </a:solidFill>
          </a:ln>
          <a:effectLst/>
        </c:spPr>
      </c:pivotFmt>
      <c:pivotFmt>
        <c:idx val="27"/>
        <c:spPr>
          <a:solidFill>
            <a:schemeClr val="accent1"/>
          </a:solidFill>
          <a:ln w="19050">
            <a:solidFill>
              <a:schemeClr val="lt1"/>
            </a:solidFill>
          </a:ln>
          <a:effectLst/>
        </c:spPr>
      </c:pivotFmt>
      <c:pivotFmt>
        <c:idx val="28"/>
        <c:spPr>
          <a:solidFill>
            <a:schemeClr val="accent1"/>
          </a:solidFill>
          <a:ln w="19050">
            <a:solidFill>
              <a:schemeClr val="lt1"/>
            </a:solidFill>
          </a:ln>
          <a:effectLst/>
        </c:spPr>
      </c:pivotFmt>
      <c:pivotFmt>
        <c:idx val="29"/>
        <c:spPr>
          <a:solidFill>
            <a:schemeClr val="accent1"/>
          </a:solidFill>
          <a:ln w="19050">
            <a:solidFill>
              <a:schemeClr val="lt1"/>
            </a:solidFill>
          </a:ln>
          <a:effectLst/>
        </c:spPr>
      </c:pivotFmt>
    </c:pivotFmts>
    <c:plotArea>
      <c:layout/>
      <c:pieChart>
        <c:varyColors val="1"/>
        <c:ser>
          <c:idx val="0"/>
          <c:order val="0"/>
          <c:tx>
            <c:strRef>
              <c:f>Analysis!$B$4</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A05-491A-9953-F4E41F30CD72}"/>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6A05-491A-9953-F4E41F30CD72}"/>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6A05-491A-9953-F4E41F30CD72}"/>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6A05-491A-9953-F4E41F30CD72}"/>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6A05-491A-9953-F4E41F30CD72}"/>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6A05-491A-9953-F4E41F30CD72}"/>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6A05-491A-9953-F4E41F30CD72}"/>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multiLvlStrRef>
              <c:f>Analysis!$A$5:$A$22</c:f>
              <c:multiLvlStrCache>
                <c:ptCount val="7"/>
                <c:lvl>
                  <c:pt idx="0">
                    <c:v>2.4.4 - Link purpose (in context) - 9.2.4.4</c:v>
                  </c:pt>
                  <c:pt idx="1">
                    <c:v>2.1.1 - Keyboard - 9.2.1.1</c:v>
                  </c:pt>
                  <c:pt idx="2">
                    <c:v>1.1.1 - Non-text content - 9.1.1.1</c:v>
                  </c:pt>
                  <c:pt idx="3">
                    <c:v>1.4.1 - Use of colour - 9.1.4.1</c:v>
                  </c:pt>
                  <c:pt idx="4">
                    <c:v>1.4.3 - Contrast (minimum) - 9.1.4.3</c:v>
                  </c:pt>
                  <c:pt idx="5">
                    <c:v>4.1.2 - Name, role, value - 9.4.1.2</c:v>
                  </c:pt>
                  <c:pt idx="6">
                    <c:v>3.1.1 - Language of page - 9.3.1.1</c:v>
                  </c:pt>
                </c:lvl>
                <c:lvl>
                  <c:pt idx="0">
                    <c:v>2.4</c:v>
                  </c:pt>
                  <c:pt idx="1">
                    <c:v>2.1</c:v>
                  </c:pt>
                  <c:pt idx="2">
                    <c:v>1.1</c:v>
                  </c:pt>
                  <c:pt idx="3">
                    <c:v>1.4</c:v>
                  </c:pt>
                  <c:pt idx="5">
                    <c:v>4.1</c:v>
                  </c:pt>
                  <c:pt idx="6">
                    <c:v>3.1</c:v>
                  </c:pt>
                </c:lvl>
                <c:lvl>
                  <c:pt idx="0">
                    <c:v>Operable</c:v>
                  </c:pt>
                  <c:pt idx="2">
                    <c:v>Perceivable</c:v>
                  </c:pt>
                  <c:pt idx="5">
                    <c:v>Robust</c:v>
                  </c:pt>
                  <c:pt idx="6">
                    <c:v>Understandable</c:v>
                  </c:pt>
                </c:lvl>
              </c:multiLvlStrCache>
            </c:multiLvlStrRef>
          </c:cat>
          <c:val>
            <c:numRef>
              <c:f>Analysis!$B$5:$B$22</c:f>
              <c:numCache>
                <c:formatCode>General</c:formatCode>
                <c:ptCount val="7"/>
                <c:pt idx="0">
                  <c:v>1</c:v>
                </c:pt>
                <c:pt idx="1">
                  <c:v>3</c:v>
                </c:pt>
                <c:pt idx="2">
                  <c:v>7</c:v>
                </c:pt>
                <c:pt idx="3">
                  <c:v>7</c:v>
                </c:pt>
                <c:pt idx="4">
                  <c:v>42</c:v>
                </c:pt>
                <c:pt idx="5">
                  <c:v>11</c:v>
                </c:pt>
                <c:pt idx="6">
                  <c:v>100</c:v>
                </c:pt>
              </c:numCache>
            </c:numRef>
          </c:val>
          <c:extLst>
            <c:ext xmlns:c16="http://schemas.microsoft.com/office/drawing/2014/chart" uri="{C3380CC4-5D6E-409C-BE32-E72D297353CC}">
              <c16:uniqueId val="{0000000E-6A05-491A-9953-F4E41F30CD72}"/>
            </c:ext>
          </c:extLst>
        </c:ser>
        <c:dLbls>
          <c:showLegendKey val="0"/>
          <c:showVal val="0"/>
          <c:showCatName val="0"/>
          <c:showSerName val="0"/>
          <c:showPercent val="0"/>
          <c:showBubbleSize val="0"/>
          <c:showLeaderLines val="0"/>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spPr>
            <a:solidFill>
              <a:schemeClr val="accent1">
                <a:alpha val="7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Analysis!$G$6:$G$9</c:f>
              <c:strCache>
                <c:ptCount val="4"/>
                <c:pt idx="0">
                  <c:v>Perceivable</c:v>
                </c:pt>
                <c:pt idx="1">
                  <c:v>Operable</c:v>
                </c:pt>
                <c:pt idx="2">
                  <c:v>Understandable</c:v>
                </c:pt>
                <c:pt idx="3">
                  <c:v>Robust</c:v>
                </c:pt>
              </c:strCache>
            </c:strRef>
          </c:cat>
          <c:val>
            <c:numRef>
              <c:f>Analysis!$H$6:$H$9</c:f>
              <c:numCache>
                <c:formatCode>General</c:formatCode>
                <c:ptCount val="4"/>
                <c:pt idx="0">
                  <c:v>56</c:v>
                </c:pt>
                <c:pt idx="1">
                  <c:v>4</c:v>
                </c:pt>
                <c:pt idx="2">
                  <c:v>100</c:v>
                </c:pt>
                <c:pt idx="3">
                  <c:v>11</c:v>
                </c:pt>
              </c:numCache>
            </c:numRef>
          </c:val>
          <c:extLst>
            <c:ext xmlns:c16="http://schemas.microsoft.com/office/drawing/2014/chart" uri="{C3380CC4-5D6E-409C-BE32-E72D297353CC}">
              <c16:uniqueId val="{00000000-ABAE-4A43-80BF-E7AAC7A9BCCC}"/>
            </c:ext>
          </c:extLst>
        </c:ser>
        <c:dLbls>
          <c:showLegendKey val="0"/>
          <c:showVal val="1"/>
          <c:showCatName val="0"/>
          <c:showSerName val="0"/>
          <c:showPercent val="0"/>
          <c:showBubbleSize val="0"/>
        </c:dLbls>
        <c:gapWidth val="150"/>
        <c:overlap val="-25"/>
        <c:axId val="1531113456"/>
        <c:axId val="1531112016"/>
      </c:barChart>
      <c:catAx>
        <c:axId val="1531113456"/>
        <c:scaling>
          <c:orientation val="minMax"/>
        </c:scaling>
        <c:delete val="0"/>
        <c:axPos val="b"/>
        <c:numFmt formatCode="General" sourceLinked="1"/>
        <c:majorTickMark val="none"/>
        <c:minorTickMark val="none"/>
        <c:tickLblPos val="nextTo"/>
        <c:spPr>
          <a:noFill/>
          <a:ln w="1587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cap="none" spc="20" normalizeH="0" baseline="0">
                <a:solidFill>
                  <a:schemeClr val="tx1">
                    <a:lumMod val="65000"/>
                    <a:lumOff val="35000"/>
                  </a:schemeClr>
                </a:solidFill>
                <a:latin typeface="+mn-lt"/>
                <a:ea typeface="+mn-ea"/>
                <a:cs typeface="+mn-cs"/>
              </a:defRPr>
            </a:pPr>
            <a:endParaRPr lang="en-US"/>
          </a:p>
        </c:txPr>
        <c:crossAx val="1531112016"/>
        <c:crosses val="autoZero"/>
        <c:auto val="1"/>
        <c:lblAlgn val="ctr"/>
        <c:lblOffset val="100"/>
        <c:noMultiLvlLbl val="0"/>
      </c:catAx>
      <c:valAx>
        <c:axId val="1531112016"/>
        <c:scaling>
          <c:orientation val="minMax"/>
        </c:scaling>
        <c:delete val="1"/>
        <c:axPos val="l"/>
        <c:numFmt formatCode="General" sourceLinked="1"/>
        <c:majorTickMark val="out"/>
        <c:minorTickMark val="none"/>
        <c:tickLblPos val="nextTo"/>
        <c:crossAx val="153111345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Analysis!$H$14</c:f>
              <c:strCache>
                <c:ptCount val="1"/>
                <c:pt idx="0">
                  <c:v>Violations</c:v>
                </c:pt>
              </c:strCache>
            </c:strRef>
          </c:tx>
          <c:spPr>
            <a:solidFill>
              <a:schemeClr val="accent1">
                <a:alpha val="7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Analysis!$G$15:$G$17</c:f>
              <c:strCache>
                <c:ptCount val="3"/>
                <c:pt idx="0">
                  <c:v>A</c:v>
                </c:pt>
                <c:pt idx="1">
                  <c:v>AA</c:v>
                </c:pt>
                <c:pt idx="2">
                  <c:v>AAA</c:v>
                </c:pt>
              </c:strCache>
            </c:strRef>
          </c:cat>
          <c:val>
            <c:numRef>
              <c:f>Analysis!$H$15:$H$17</c:f>
              <c:numCache>
                <c:formatCode>General</c:formatCode>
                <c:ptCount val="3"/>
                <c:pt idx="0">
                  <c:v>129</c:v>
                </c:pt>
                <c:pt idx="1">
                  <c:v>42</c:v>
                </c:pt>
                <c:pt idx="2">
                  <c:v>0</c:v>
                </c:pt>
              </c:numCache>
            </c:numRef>
          </c:val>
          <c:extLst>
            <c:ext xmlns:c16="http://schemas.microsoft.com/office/drawing/2014/chart" uri="{C3380CC4-5D6E-409C-BE32-E72D297353CC}">
              <c16:uniqueId val="{00000000-88E9-4B2D-BB25-378A2EF3FCB0}"/>
            </c:ext>
          </c:extLst>
        </c:ser>
        <c:dLbls>
          <c:dLblPos val="outEnd"/>
          <c:showLegendKey val="0"/>
          <c:showVal val="1"/>
          <c:showCatName val="0"/>
          <c:showSerName val="0"/>
          <c:showPercent val="0"/>
          <c:showBubbleSize val="0"/>
        </c:dLbls>
        <c:gapWidth val="80"/>
        <c:overlap val="25"/>
        <c:axId val="614588144"/>
        <c:axId val="614579024"/>
      </c:barChart>
      <c:catAx>
        <c:axId val="614588144"/>
        <c:scaling>
          <c:orientation val="minMax"/>
        </c:scaling>
        <c:delete val="0"/>
        <c:axPos val="b"/>
        <c:numFmt formatCode="General" sourceLinked="1"/>
        <c:majorTickMark val="none"/>
        <c:minorTickMark val="none"/>
        <c:tickLblPos val="nextTo"/>
        <c:spPr>
          <a:noFill/>
          <a:ln w="1587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cap="none" spc="20" normalizeH="0" baseline="0">
                <a:solidFill>
                  <a:schemeClr val="tx1">
                    <a:lumMod val="65000"/>
                    <a:lumOff val="35000"/>
                  </a:schemeClr>
                </a:solidFill>
                <a:latin typeface="+mn-lt"/>
                <a:ea typeface="+mn-ea"/>
                <a:cs typeface="+mn-cs"/>
              </a:defRPr>
            </a:pPr>
            <a:endParaRPr lang="en-US"/>
          </a:p>
        </c:txPr>
        <c:crossAx val="614579024"/>
        <c:crosses val="autoZero"/>
        <c:auto val="1"/>
        <c:lblAlgn val="ctr"/>
        <c:lblOffset val="100"/>
        <c:noMultiLvlLbl val="0"/>
      </c:catAx>
      <c:valAx>
        <c:axId val="614579024"/>
        <c:scaling>
          <c:orientation val="minMax"/>
        </c:scaling>
        <c:delete val="1"/>
        <c:axPos val="l"/>
        <c:numFmt formatCode="General" sourceLinked="1"/>
        <c:majorTickMark val="none"/>
        <c:minorTickMark val="none"/>
        <c:tickLblPos val="nextTo"/>
        <c:crossAx val="614588144"/>
        <c:crosses val="autoZero"/>
        <c:crossBetween val="between"/>
      </c:valAx>
      <c:spPr>
        <a:noFill/>
        <a:ln>
          <a:noFill/>
        </a:ln>
        <a:effectLst/>
      </c:spPr>
    </c:plotArea>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Violations per principle</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Analysis!$H$5</c:f>
              <c:strCache>
                <c:ptCount val="1"/>
                <c:pt idx="0">
                  <c:v>Violations</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83FC-4275-9C1D-505039F4E580}"/>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83FC-4275-9C1D-505039F4E580}"/>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83FC-4275-9C1D-505039F4E580}"/>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83FC-4275-9C1D-505039F4E580}"/>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1"/>
            <c:showCatName val="1"/>
            <c:showSerName val="0"/>
            <c:showPercent val="1"/>
            <c:showBubbleSize val="0"/>
            <c:separator>
</c:separator>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Analysis!$G$6:$G$9</c:f>
              <c:strCache>
                <c:ptCount val="4"/>
                <c:pt idx="0">
                  <c:v>Perceivable</c:v>
                </c:pt>
                <c:pt idx="1">
                  <c:v>Operable</c:v>
                </c:pt>
                <c:pt idx="2">
                  <c:v>Understandable</c:v>
                </c:pt>
                <c:pt idx="3">
                  <c:v>Robust</c:v>
                </c:pt>
              </c:strCache>
            </c:strRef>
          </c:cat>
          <c:val>
            <c:numRef>
              <c:f>Analysis!$H$6:$H$9</c:f>
              <c:numCache>
                <c:formatCode>General</c:formatCode>
                <c:ptCount val="4"/>
                <c:pt idx="0">
                  <c:v>56</c:v>
                </c:pt>
                <c:pt idx="1">
                  <c:v>4</c:v>
                </c:pt>
                <c:pt idx="2">
                  <c:v>100</c:v>
                </c:pt>
                <c:pt idx="3">
                  <c:v>11</c:v>
                </c:pt>
              </c:numCache>
            </c:numRef>
          </c:val>
          <c:extLst>
            <c:ext xmlns:c16="http://schemas.microsoft.com/office/drawing/2014/chart" uri="{C3380CC4-5D6E-409C-BE32-E72D297353CC}">
              <c16:uniqueId val="{00000008-83FC-4275-9C1D-505039F4E580}"/>
            </c:ext>
          </c:extLst>
        </c:ser>
        <c:dLbls>
          <c:showLegendKey val="0"/>
          <c:showVal val="0"/>
          <c:showCatName val="0"/>
          <c:showSerName val="0"/>
          <c:showPercent val="0"/>
          <c:showBubbleSize val="0"/>
          <c:showLeaderLines val="0"/>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Volations per level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11E-4045-9646-0F1AAED94F9F}"/>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11E-4045-9646-0F1AAED94F9F}"/>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211E-4045-9646-0F1AAED94F9F}"/>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separator>
</c:separator>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Analysis!$G$15:$G$17</c:f>
              <c:strCache>
                <c:ptCount val="3"/>
                <c:pt idx="0">
                  <c:v>A</c:v>
                </c:pt>
                <c:pt idx="1">
                  <c:v>AA</c:v>
                </c:pt>
                <c:pt idx="2">
                  <c:v>AAA</c:v>
                </c:pt>
              </c:strCache>
            </c:strRef>
          </c:cat>
          <c:val>
            <c:numRef>
              <c:f>Analysis!$H$15:$H$17</c:f>
              <c:numCache>
                <c:formatCode>General</c:formatCode>
                <c:ptCount val="3"/>
                <c:pt idx="0">
                  <c:v>129</c:v>
                </c:pt>
                <c:pt idx="1">
                  <c:v>42</c:v>
                </c:pt>
                <c:pt idx="2">
                  <c:v>0</c:v>
                </c:pt>
              </c:numCache>
            </c:numRef>
          </c:val>
          <c:extLst>
            <c:ext xmlns:c16="http://schemas.microsoft.com/office/drawing/2014/chart" uri="{C3380CC4-5D6E-409C-BE32-E72D297353CC}">
              <c16:uniqueId val="{00000006-211E-4045-9646-0F1AAED94F9F}"/>
            </c:ext>
          </c:extLst>
        </c:ser>
        <c:dLbls>
          <c:dLblPos val="bestFit"/>
          <c:showLegendKey val="0"/>
          <c:showVal val="1"/>
          <c:showCatName val="0"/>
          <c:showSerName val="0"/>
          <c:showPercent val="0"/>
          <c:showBubbleSize val="0"/>
          <c:showLeaderLines val="0"/>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[aggregated-analysis-template.xlsm]Analysis!PivotTable2</c:name>
    <c:fmtId val="19"/>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Analysis!$E$4</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Analysis!$D$5:$D$15</c:f>
              <c:multiLvlStrCache>
                <c:ptCount val="6"/>
                <c:lvl>
                  <c:pt idx="0">
                    <c:v>2.4 - Navigable</c:v>
                  </c:pt>
                  <c:pt idx="1">
                    <c:v>2.1 - Keyboard Accessible</c:v>
                  </c:pt>
                  <c:pt idx="2">
                    <c:v>1.1 - Text Alternatives</c:v>
                  </c:pt>
                  <c:pt idx="3">
                    <c:v>1.4 - Distinguishable</c:v>
                  </c:pt>
                  <c:pt idx="4">
                    <c:v>4.1 - Compatible</c:v>
                  </c:pt>
                  <c:pt idx="5">
                    <c:v>3.1 - Readable</c:v>
                  </c:pt>
                </c:lvl>
                <c:lvl>
                  <c:pt idx="0">
                    <c:v>Operable</c:v>
                  </c:pt>
                  <c:pt idx="2">
                    <c:v>Perceivable</c:v>
                  </c:pt>
                  <c:pt idx="4">
                    <c:v>Robust</c:v>
                  </c:pt>
                  <c:pt idx="5">
                    <c:v>Understandable</c:v>
                  </c:pt>
                </c:lvl>
              </c:multiLvlStrCache>
            </c:multiLvlStrRef>
          </c:cat>
          <c:val>
            <c:numRef>
              <c:f>Analysis!$E$5:$E$15</c:f>
              <c:numCache>
                <c:formatCode>General</c:formatCode>
                <c:ptCount val="6"/>
                <c:pt idx="0">
                  <c:v>1</c:v>
                </c:pt>
                <c:pt idx="1">
                  <c:v>3</c:v>
                </c:pt>
                <c:pt idx="2">
                  <c:v>7</c:v>
                </c:pt>
                <c:pt idx="3">
                  <c:v>49</c:v>
                </c:pt>
                <c:pt idx="4">
                  <c:v>11</c:v>
                </c:pt>
                <c:pt idx="5">
                  <c:v>100</c:v>
                </c:pt>
              </c:numCache>
            </c:numRef>
          </c:val>
          <c:extLst>
            <c:ext xmlns:c16="http://schemas.microsoft.com/office/drawing/2014/chart" uri="{C3380CC4-5D6E-409C-BE32-E72D297353CC}">
              <c16:uniqueId val="{00000000-2D72-4A05-AB88-65024B7FF8C5}"/>
            </c:ext>
          </c:extLst>
        </c:ser>
        <c:dLbls>
          <c:showLegendKey val="0"/>
          <c:showVal val="0"/>
          <c:showCatName val="0"/>
          <c:showSerName val="0"/>
          <c:showPercent val="0"/>
          <c:showBubbleSize val="0"/>
        </c:dLbls>
        <c:gapWidth val="182"/>
        <c:axId val="773242848"/>
        <c:axId val="343997472"/>
      </c:barChart>
      <c:catAx>
        <c:axId val="77324284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43997472"/>
        <c:crosses val="autoZero"/>
        <c:auto val="1"/>
        <c:lblAlgn val="ctr"/>
        <c:lblOffset val="100"/>
        <c:noMultiLvlLbl val="0"/>
      </c:catAx>
      <c:valAx>
        <c:axId val="34399747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324284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[aggregated-analysis-template.xlsm]Analysis!PivotTable2</c:name>
    <c:fmtId val="24"/>
  </c:pivotSource>
  <c:chart>
    <c:autoTitleDeleted val="1"/>
    <c:pivotFmts>
      <c:pivotFmt>
        <c:idx val="0"/>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s>
    <c:plotArea>
      <c:layout/>
      <c:pieChart>
        <c:varyColors val="1"/>
        <c:ser>
          <c:idx val="0"/>
          <c:order val="0"/>
          <c:tx>
            <c:strRef>
              <c:f>Analysis!$E$4</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EE2-4670-824A-69683B89D01F}"/>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6EE2-4670-824A-69683B89D01F}"/>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6EE2-4670-824A-69683B89D01F}"/>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6EE2-4670-824A-69683B89D01F}"/>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6EE2-4670-824A-69683B89D01F}"/>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6EE2-4670-824A-69683B89D01F}"/>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multiLvlStrRef>
              <c:f>Analysis!$D$5:$D$15</c:f>
              <c:multiLvlStrCache>
                <c:ptCount val="6"/>
                <c:lvl>
                  <c:pt idx="0">
                    <c:v>2.4 - Navigable</c:v>
                  </c:pt>
                  <c:pt idx="1">
                    <c:v>2.1 - Keyboard Accessible</c:v>
                  </c:pt>
                  <c:pt idx="2">
                    <c:v>1.1 - Text Alternatives</c:v>
                  </c:pt>
                  <c:pt idx="3">
                    <c:v>1.4 - Distinguishable</c:v>
                  </c:pt>
                  <c:pt idx="4">
                    <c:v>4.1 - Compatible</c:v>
                  </c:pt>
                  <c:pt idx="5">
                    <c:v>3.1 - Readable</c:v>
                  </c:pt>
                </c:lvl>
                <c:lvl>
                  <c:pt idx="0">
                    <c:v>Operable</c:v>
                  </c:pt>
                  <c:pt idx="2">
                    <c:v>Perceivable</c:v>
                  </c:pt>
                  <c:pt idx="4">
                    <c:v>Robust</c:v>
                  </c:pt>
                  <c:pt idx="5">
                    <c:v>Understandable</c:v>
                  </c:pt>
                </c:lvl>
              </c:multiLvlStrCache>
            </c:multiLvlStrRef>
          </c:cat>
          <c:val>
            <c:numRef>
              <c:f>Analysis!$E$5:$E$15</c:f>
              <c:numCache>
                <c:formatCode>General</c:formatCode>
                <c:ptCount val="6"/>
                <c:pt idx="0">
                  <c:v>1</c:v>
                </c:pt>
                <c:pt idx="1">
                  <c:v>3</c:v>
                </c:pt>
                <c:pt idx="2">
                  <c:v>7</c:v>
                </c:pt>
                <c:pt idx="3">
                  <c:v>49</c:v>
                </c:pt>
                <c:pt idx="4">
                  <c:v>11</c:v>
                </c:pt>
                <c:pt idx="5">
                  <c:v>100</c:v>
                </c:pt>
              </c:numCache>
            </c:numRef>
          </c:val>
          <c:extLst>
            <c:ext xmlns:c16="http://schemas.microsoft.com/office/drawing/2014/chart" uri="{C3380CC4-5D6E-409C-BE32-E72D297353CC}">
              <c16:uniqueId val="{0000000C-6EE2-4670-824A-69683B89D01F}"/>
            </c:ext>
          </c:extLst>
        </c:ser>
        <c:dLbls>
          <c:showLegendKey val="0"/>
          <c:showVal val="0"/>
          <c:showCatName val="0"/>
          <c:showSerName val="0"/>
          <c:showPercent val="0"/>
          <c:showBubbleSize val="0"/>
          <c:showLeaderLines val="0"/>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_xlchart.v2.2</cx:f>
      </cx:strDim>
      <cx:numDim type="val">
        <cx:f>_xlchart.v2.3</cx:f>
      </cx:numDim>
    </cx:data>
  </cx:chartData>
  <cx:chart>
    <cx:plotArea>
      <cx:plotAreaRegion>
        <cx:series layoutId="funnel" uniqueId="{730B7923-67FA-4FE5-8A68-9CD3D7D75C96}">
          <cx:dataLabels>
            <cx:spPr>
              <a:noFill/>
            </cx:spPr>
            <cx:txPr>
              <a:bodyPr spcFirstLastPara="1" vertOverflow="ellipsis" horzOverflow="overflow" wrap="square" lIns="0" tIns="0" rIns="0" bIns="0" anchor="ctr" anchorCtr="1"/>
              <a:lstStyle/>
              <a:p>
                <a:pPr algn="ctr" rtl="0">
                  <a:defRPr>
                    <a:ln>
                      <a:noFill/>
                    </a:ln>
                  </a:defRPr>
                </a:pPr>
                <a:endParaRPr lang="en-US" sz="900" b="0" i="0" u="none" strike="noStrike" kern="1200" baseline="0">
                  <a:ln>
                    <a:noFill/>
                  </a:ln>
                  <a:solidFill>
                    <a:sysClr val="windowText" lastClr="000000">
                      <a:lumMod val="75000"/>
                      <a:lumOff val="25000"/>
                    </a:sysClr>
                  </a:solidFill>
                  <a:latin typeface="Calibri"/>
                </a:endParaRPr>
              </a:p>
            </cx:txPr>
            <cx:visibility seriesName="0" categoryName="0" value="1"/>
            <cx:separator>
</cx:separator>
          </cx:dataLabels>
          <cx:dataId val="0"/>
          <cx:layoutPr/>
        </cx:series>
      </cx:plotAreaRegion>
      <cx:axis id="0">
        <cx:catScaling gapWidth="0.5"/>
        <cx:tickLabels/>
      </cx:axis>
    </cx:plotArea>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_xlchart.v2.0</cx:f>
      </cx:strDim>
      <cx:numDim type="val">
        <cx:f>_xlchart.v2.1</cx:f>
      </cx:numDim>
    </cx:data>
  </cx:chartData>
  <cx:chart>
    <cx:plotArea>
      <cx:plotAreaRegion>
        <cx:series layoutId="funnel" uniqueId="{58811347-E471-43B0-80AF-6A738AA0A65E}">
          <cx:dataLabels>
            <cx:visibility seriesName="0" categoryName="0" value="1"/>
          </cx:dataLabels>
          <cx:dataId val="0"/>
        </cx:series>
      </cx:plotAreaRegion>
      <cx:axis id="0">
        <cx:catScaling gapWidth="0.5"/>
        <cx:tickLabels/>
      </cx:axis>
    </cx:plotArea>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15875" cap="flat" cmpd="sng" algn="ctr">
        <a:solidFill>
          <a:schemeClr val="tx1">
            <a:lumMod val="25000"/>
            <a:lumOff val="75000"/>
          </a:schemeClr>
        </a:solidFill>
        <a:round/>
      </a:ln>
    </cs:spPr>
    <cs:defRPr sz="900" kern="1200" cap="none" spc="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70000"/>
        </a:schemeClr>
      </a:solidFill>
    </cs:spPr>
  </cs:dataPoint>
  <cs:dataPoint3D>
    <cs:lnRef idx="0"/>
    <cs:fillRef idx="0">
      <cs:styleClr val="auto"/>
    </cs:fillRef>
    <cs:effectRef idx="0"/>
    <cs:fontRef idx="minor">
      <a:schemeClr val="dk1"/>
    </cs:fontRef>
    <cs:spPr>
      <a:solidFill>
        <a:schemeClr val="phClr">
          <a:alpha val="70000"/>
        </a:schemeClr>
      </a:solidFill>
    </cs:spPr>
  </cs:dataPoint3D>
  <cs:dataPointLine>
    <cs:lnRef idx="0">
      <cs:styleClr val="auto"/>
    </cs:lnRef>
    <cs:fillRef idx="0"/>
    <cs:effectRef idx="0"/>
    <cs:fontRef idx="minor">
      <a:schemeClr val="dk1"/>
    </cs:fontRef>
    <cs:spPr>
      <a:ln w="28575" cap="rnd">
        <a:solidFill>
          <a:schemeClr val="phClr">
            <a:alpha val="70000"/>
          </a:schemeClr>
        </a:solidFill>
        <a:round/>
      </a:ln>
    </cs:spPr>
  </cs:dataPointLine>
  <cs:dataPointMarker>
    <cs:lnRef idx="0"/>
    <cs:fillRef idx="0">
      <cs:styleClr val="auto"/>
    </cs:fillRef>
    <cs:effectRef idx="0"/>
    <cs:fontRef idx="minor">
      <a:schemeClr val="dk1"/>
    </cs:fontRef>
    <cs:spPr>
      <a:solidFill>
        <a:schemeClr val="phClr">
          <a:alpha val="70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5000"/>
            <a:lumOff val="9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baseline="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1600" b="0" i="0" kern="1200" cap="none" spc="50" normalizeH="0" baseline="0"/>
  </cs:title>
  <cs:trendline>
    <cs:lnRef idx="0">
      <cs:styleClr val="auto"/>
    </cs:lnRef>
    <cs:fillRef idx="0"/>
    <cs:effectRef idx="0"/>
    <cs:fontRef idx="minor">
      <a:schemeClr val="dk1"/>
    </cs:fontRef>
    <cs:spPr>
      <a:ln w="1587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spc="20" baseline="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1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15875" cap="flat" cmpd="sng" algn="ctr">
        <a:solidFill>
          <a:schemeClr val="tx1">
            <a:lumMod val="25000"/>
            <a:lumOff val="75000"/>
          </a:schemeClr>
        </a:solidFill>
        <a:round/>
      </a:ln>
    </cs:spPr>
    <cs:defRPr sz="900" kern="1200" cap="none" spc="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70000"/>
        </a:schemeClr>
      </a:solidFill>
    </cs:spPr>
  </cs:dataPoint>
  <cs:dataPoint3D>
    <cs:lnRef idx="0"/>
    <cs:fillRef idx="0">
      <cs:styleClr val="auto"/>
    </cs:fillRef>
    <cs:effectRef idx="0"/>
    <cs:fontRef idx="minor">
      <a:schemeClr val="dk1"/>
    </cs:fontRef>
    <cs:spPr>
      <a:solidFill>
        <a:schemeClr val="phClr">
          <a:alpha val="70000"/>
        </a:schemeClr>
      </a:solidFill>
    </cs:spPr>
  </cs:dataPoint3D>
  <cs:dataPointLine>
    <cs:lnRef idx="0">
      <cs:styleClr val="auto"/>
    </cs:lnRef>
    <cs:fillRef idx="0"/>
    <cs:effectRef idx="0"/>
    <cs:fontRef idx="minor">
      <a:schemeClr val="dk1"/>
    </cs:fontRef>
    <cs:spPr>
      <a:ln w="28575" cap="rnd">
        <a:solidFill>
          <a:schemeClr val="phClr">
            <a:alpha val="70000"/>
          </a:schemeClr>
        </a:solidFill>
        <a:round/>
      </a:ln>
    </cs:spPr>
  </cs:dataPointLine>
  <cs:dataPointMarker>
    <cs:lnRef idx="0"/>
    <cs:fillRef idx="0">
      <cs:styleClr val="auto"/>
    </cs:fillRef>
    <cs:effectRef idx="0"/>
    <cs:fontRef idx="minor">
      <a:schemeClr val="dk1"/>
    </cs:fontRef>
    <cs:spPr>
      <a:solidFill>
        <a:schemeClr val="phClr">
          <a:alpha val="70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5000"/>
            <a:lumOff val="9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baseline="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1600" b="0" i="0" kern="1200" cap="none" spc="50" normalizeH="0" baseline="0"/>
  </cs:title>
  <cs:trendline>
    <cs:lnRef idx="0">
      <cs:styleClr val="auto"/>
    </cs:lnRef>
    <cs:fillRef idx="0"/>
    <cs:effectRef idx="0"/>
    <cs:fontRef idx="minor">
      <a:schemeClr val="dk1"/>
    </cs:fontRef>
    <cs:spPr>
      <a:ln w="1587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spc="20" baseline="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425">
  <cs:axisTitle>
    <cs:lnRef idx="0"/>
    <cs:fillRef idx="0"/>
    <cs:effectRef idx="0"/>
    <cs:fontRef idx="minor">
      <a:schemeClr val="tx1">
        <a:lumMod val="50000"/>
        <a:lumOff val="50000"/>
      </a:schemeClr>
    </cs:fontRef>
    <cs:defRPr sz="900"/>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cs:chartArea>
  <cs:dataLabel>
    <cs:lnRef idx="0"/>
    <cs:fillRef idx="0"/>
    <cs:effectRef idx="0"/>
    <cs:fontRef idx="minor">
      <a:schemeClr val="tx1">
        <a:lumMod val="50000"/>
        <a:lumOff val="50000"/>
      </a:schemeClr>
    </cs:fontRef>
    <cs:defRPr sz="900"/>
  </cs:dataLabel>
  <cs:dataLabelCallout>
    <cs:lnRef idx="0"/>
    <cs:fillRef idx="0"/>
    <cs:effectRef idx="0"/>
    <cs:fontRef idx="minor">
      <a:schemeClr val="dk1">
        <a:lumMod val="50000"/>
        <a:lumOff val="50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dk1"/>
    </cs:fontRef>
    <cs:spPr>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ln w="9525" cap="flat" cmpd="sng" algn="ctr">
        <a:solidFill>
          <a:schemeClr val="phClr">
            <a:alpha val="50000"/>
          </a:schemeClr>
        </a:solidFill>
        <a:round/>
      </a:ln>
    </cs:spPr>
  </cs:dataPoint>
  <cs:dataPoint3D>
    <cs:lnRef idx="0">
      <cs:styleClr val="auto"/>
    </cs:lnRef>
    <cs:fillRef idx="0">
      <cs:styleClr val="auto"/>
    </cs:fillRef>
    <cs:effectRef idx="0"/>
    <cs:fontRef idx="minor">
      <a:schemeClr val="dk1"/>
    </cs:fontRef>
    <cs:spPr>
      <a:solidFill>
        <a:schemeClr val="phClr"/>
      </a:solidFill>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4"/>
  <cs:dataPointWireframe>
    <cs:lnRef idx="0">
      <cs:styleClr val="auto"/>
    </cs:lnRef>
    <cs:fillRef idx="0"/>
    <cs:effectRef idx="0"/>
    <cs:fontRef idx="minor">
      <a:schemeClr val="dk1"/>
    </cs:fontRef>
    <cs:spPr>
      <a:ln w="2857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15000"/>
            <a:lumOff val="85000"/>
            <a:lumOff val="10000"/>
          </a:schemeClr>
        </a:solidFill>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50000"/>
        <a:lumOff val="50000"/>
      </a:schemeClr>
    </cs:fontRef>
    <cs:defRPr sz="9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dk1"/>
    </cs:fontRef>
    <cs:spPr>
      <a:ln w="9525" cap="flat">
        <a:solidFill>
          <a:srgbClr val="D9D9D9"/>
        </a:solidFill>
        <a:round/>
      </a:ln>
    </cs:spPr>
  </cs:seriesLine>
  <cs:title>
    <cs:lnRef idx="0"/>
    <cs:fillRef idx="0"/>
    <cs:effectRef idx="0"/>
    <cs:fontRef idx="minor">
      <a:schemeClr val="tx1">
        <a:lumMod val="50000"/>
        <a:lumOff val="50000"/>
      </a:schemeClr>
    </cs:fontRef>
    <cs:defRPr sz="1400" cap="none" spc="2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50000"/>
        <a:lumOff val="50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50000"/>
        <a:lumOff val="50000"/>
      </a:schemeClr>
    </cs:fontRef>
    <cs:defRPr sz="900"/>
  </cs:valueAxis>
  <cs:wall>
    <cs:lnRef idx="0"/>
    <cs:fillRef idx="0"/>
    <cs:effectRef idx="0"/>
    <cs:fontRef idx="minor">
      <a:schemeClr val="dk1"/>
    </cs:fontRef>
  </cs:wall>
</cs:chartStyle>
</file>

<file path=xl/charts/style10.xml><?xml version="1.0" encoding="utf-8"?>
<cs:chartStyle xmlns:cs="http://schemas.microsoft.com/office/drawing/2012/chartStyle" xmlns:a="http://schemas.openxmlformats.org/drawingml/2006/main" id="425">
  <cs:axisTitle>
    <cs:lnRef idx="0"/>
    <cs:fillRef idx="0"/>
    <cs:effectRef idx="0"/>
    <cs:fontRef idx="minor">
      <a:schemeClr val="tx1">
        <a:lumMod val="50000"/>
        <a:lumOff val="50000"/>
      </a:schemeClr>
    </cs:fontRef>
    <cs:defRPr sz="900"/>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cs:chartArea>
  <cs:dataLabel>
    <cs:lnRef idx="0"/>
    <cs:fillRef idx="0"/>
    <cs:effectRef idx="0"/>
    <cs:fontRef idx="minor">
      <a:schemeClr val="tx1">
        <a:lumMod val="50000"/>
        <a:lumOff val="50000"/>
      </a:schemeClr>
    </cs:fontRef>
    <cs:defRPr sz="900"/>
  </cs:dataLabel>
  <cs:dataLabelCallout>
    <cs:lnRef idx="0"/>
    <cs:fillRef idx="0"/>
    <cs:effectRef idx="0"/>
    <cs:fontRef idx="minor">
      <a:schemeClr val="dk1">
        <a:lumMod val="50000"/>
        <a:lumOff val="50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dk1"/>
    </cs:fontRef>
    <cs:spPr>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ln w="9525" cap="flat" cmpd="sng" algn="ctr">
        <a:solidFill>
          <a:schemeClr val="phClr">
            <a:alpha val="50000"/>
          </a:schemeClr>
        </a:solidFill>
        <a:round/>
      </a:ln>
    </cs:spPr>
  </cs:dataPoint>
  <cs:dataPoint3D>
    <cs:lnRef idx="0">
      <cs:styleClr val="auto"/>
    </cs:lnRef>
    <cs:fillRef idx="0">
      <cs:styleClr val="auto"/>
    </cs:fillRef>
    <cs:effectRef idx="0"/>
    <cs:fontRef idx="minor">
      <a:schemeClr val="dk1"/>
    </cs:fontRef>
    <cs:spPr>
      <a:solidFill>
        <a:schemeClr val="phClr"/>
      </a:solidFill>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4"/>
  <cs:dataPointWireframe>
    <cs:lnRef idx="0">
      <cs:styleClr val="auto"/>
    </cs:lnRef>
    <cs:fillRef idx="0"/>
    <cs:effectRef idx="0"/>
    <cs:fontRef idx="minor">
      <a:schemeClr val="dk1"/>
    </cs:fontRef>
    <cs:spPr>
      <a:ln w="2857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15000"/>
            <a:lumOff val="85000"/>
            <a:lumOff val="10000"/>
          </a:schemeClr>
        </a:solidFill>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50000"/>
        <a:lumOff val="50000"/>
      </a:schemeClr>
    </cs:fontRef>
    <cs:defRPr sz="9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dk1"/>
    </cs:fontRef>
    <cs:spPr>
      <a:ln w="9525" cap="flat">
        <a:solidFill>
          <a:srgbClr val="D9D9D9"/>
        </a:solidFill>
        <a:round/>
      </a:ln>
    </cs:spPr>
  </cs:seriesLine>
  <cs:title>
    <cs:lnRef idx="0"/>
    <cs:fillRef idx="0"/>
    <cs:effectRef idx="0"/>
    <cs:fontRef idx="minor">
      <a:schemeClr val="tx1">
        <a:lumMod val="50000"/>
        <a:lumOff val="50000"/>
      </a:schemeClr>
    </cs:fontRef>
    <cs:defRPr sz="1400" cap="none" spc="2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50000"/>
        <a:lumOff val="50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50000"/>
        <a:lumOff val="50000"/>
      </a:schemeClr>
    </cs:fontRef>
    <cs:defRPr sz="900"/>
  </cs:valueAxis>
  <cs:wall>
    <cs:lnRef idx="0"/>
    <cs:fillRef idx="0"/>
    <cs:effectRef idx="0"/>
    <cs:fontRef idx="minor">
      <a:schemeClr val="dk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10" Type="http://schemas.microsoft.com/office/2014/relationships/chartEx" Target="../charts/chartEx2.xml"/><Relationship Id="rId4" Type="http://schemas.openxmlformats.org/officeDocument/2006/relationships/chart" Target="../charts/chart4.xml"/><Relationship Id="rId9" Type="http://schemas.microsoft.com/office/2014/relationships/chartEx" Target="../charts/chartEx1.xm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4</xdr:col>
      <xdr:colOff>15033</xdr:colOff>
      <xdr:row>46</xdr:row>
      <xdr:rowOff>185084</xdr:rowOff>
    </xdr:from>
    <xdr:to>
      <xdr:col>17</xdr:col>
      <xdr:colOff>568324</xdr:colOff>
      <xdr:row>71</xdr:row>
      <xdr:rowOff>50800</xdr:rowOff>
    </xdr:to>
    <xdr:graphicFrame macro="">
      <xdr:nvGraphicFramePr>
        <xdr:cNvPr id="2" name="Chart 1" descr="Criteria analysis chart (more in analysis sheet)">
          <a:extLst>
            <a:ext uri="{FF2B5EF4-FFF2-40B4-BE49-F238E27FC236}">
              <a16:creationId xmlns:a16="http://schemas.microsoft.com/office/drawing/2014/main" id="{91120C15-2726-40DF-A998-429239FAE40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5322</xdr:colOff>
      <xdr:row>71</xdr:row>
      <xdr:rowOff>137271</xdr:rowOff>
    </xdr:from>
    <xdr:to>
      <xdr:col>17</xdr:col>
      <xdr:colOff>552450</xdr:colOff>
      <xdr:row>94</xdr:row>
      <xdr:rowOff>118222</xdr:rowOff>
    </xdr:to>
    <xdr:graphicFrame macro="">
      <xdr:nvGraphicFramePr>
        <xdr:cNvPr id="3" name="Chart 2" descr="Criteria analysis pie chart (more in analysis sheet)">
          <a:extLst>
            <a:ext uri="{FF2B5EF4-FFF2-40B4-BE49-F238E27FC236}">
              <a16:creationId xmlns:a16="http://schemas.microsoft.com/office/drawing/2014/main" id="{CFAA9A23-508C-4101-9BD5-E49C57C117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0</xdr:col>
      <xdr:colOff>161924</xdr:colOff>
      <xdr:row>45</xdr:row>
      <xdr:rowOff>0</xdr:rowOff>
    </xdr:from>
    <xdr:to>
      <xdr:col>3</xdr:col>
      <xdr:colOff>1171574</xdr:colOff>
      <xdr:row>58</xdr:row>
      <xdr:rowOff>50800</xdr:rowOff>
    </xdr:to>
    <mc:AlternateContent xmlns:mc="http://schemas.openxmlformats.org/markup-compatibility/2006" xmlns:a14="http://schemas.microsoft.com/office/drawing/2010/main">
      <mc:Choice Requires="a14">
        <xdr:graphicFrame macro="">
          <xdr:nvGraphicFramePr>
            <xdr:cNvPr id="4" name="principle">
              <a:extLst>
                <a:ext uri="{FF2B5EF4-FFF2-40B4-BE49-F238E27FC236}">
                  <a16:creationId xmlns:a16="http://schemas.microsoft.com/office/drawing/2014/main" id="{00A0B195-CC3E-4A88-B8F1-81EA719714B6}"/>
                </a:ext>
              </a:extLst>
            </xdr:cNvPr>
            <xdr:cNvGraphicFramePr/>
          </xdr:nvGraphicFramePr>
          <xdr:xfrm>
            <a:off x="0" y="0"/>
            <a:ext cx="0" cy="0"/>
          </xdr:xfrm>
          <a:graphic>
            <a:graphicData uri="http://schemas.microsoft.com/office/drawing/2010/slicer">
              <sle:slicer xmlns:sle="http://schemas.microsoft.com/office/drawing/2010/slicer" name="principle"/>
            </a:graphicData>
          </a:graphic>
        </xdr:graphicFrame>
      </mc:Choice>
      <mc:Fallback xmlns="">
        <xdr:sp macro="" textlink="">
          <xdr:nvSpPr>
            <xdr:cNvPr id="0" name=""/>
            <xdr:cNvSpPr>
              <a:spLocks noTextEdit="1"/>
            </xdr:cNvSpPr>
          </xdr:nvSpPr>
          <xdr:spPr>
            <a:xfrm>
              <a:off x="161924" y="7172325"/>
              <a:ext cx="2333625" cy="25273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0</xdr:col>
      <xdr:colOff>161924</xdr:colOff>
      <xdr:row>71</xdr:row>
      <xdr:rowOff>104775</xdr:rowOff>
    </xdr:from>
    <xdr:to>
      <xdr:col>3</xdr:col>
      <xdr:colOff>1171574</xdr:colOff>
      <xdr:row>84</xdr:row>
      <xdr:rowOff>165100</xdr:rowOff>
    </xdr:to>
    <mc:AlternateContent xmlns:mc="http://schemas.openxmlformats.org/markup-compatibility/2006" xmlns:a14="http://schemas.microsoft.com/office/drawing/2010/main">
      <mc:Choice Requires="a14">
        <xdr:graphicFrame macro="">
          <xdr:nvGraphicFramePr>
            <xdr:cNvPr id="6" name="Criterion - name - EU">
              <a:extLst>
                <a:ext uri="{FF2B5EF4-FFF2-40B4-BE49-F238E27FC236}">
                  <a16:creationId xmlns:a16="http://schemas.microsoft.com/office/drawing/2014/main" id="{A5B59DD8-BEB3-4B27-87DD-59BB7001AB4B}"/>
                </a:ext>
              </a:extLst>
            </xdr:cNvPr>
            <xdr:cNvGraphicFramePr/>
          </xdr:nvGraphicFramePr>
          <xdr:xfrm>
            <a:off x="0" y="0"/>
            <a:ext cx="0" cy="0"/>
          </xdr:xfrm>
          <a:graphic>
            <a:graphicData uri="http://schemas.microsoft.com/office/drawing/2010/slicer">
              <sle:slicer xmlns:sle="http://schemas.microsoft.com/office/drawing/2010/slicer" name="Criterion - name - EU"/>
            </a:graphicData>
          </a:graphic>
        </xdr:graphicFrame>
      </mc:Choice>
      <mc:Fallback xmlns="">
        <xdr:sp macro="" textlink="">
          <xdr:nvSpPr>
            <xdr:cNvPr id="0" name=""/>
            <xdr:cNvSpPr>
              <a:spLocks noTextEdit="1"/>
            </xdr:cNvSpPr>
          </xdr:nvSpPr>
          <xdr:spPr>
            <a:xfrm>
              <a:off x="161924" y="12230100"/>
              <a:ext cx="2333625" cy="25368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8</xdr:col>
      <xdr:colOff>152399</xdr:colOff>
      <xdr:row>1</xdr:row>
      <xdr:rowOff>241300</xdr:rowOff>
    </xdr:from>
    <xdr:to>
      <xdr:col>14</xdr:col>
      <xdr:colOff>0</xdr:colOff>
      <xdr:row>2</xdr:row>
      <xdr:rowOff>1231900</xdr:rowOff>
    </xdr:to>
    <xdr:graphicFrame macro="">
      <xdr:nvGraphicFramePr>
        <xdr:cNvPr id="7" name="Chart 6" descr="Occurences sums per principle (more in analysis sheet)">
          <a:extLst>
            <a:ext uri="{FF2B5EF4-FFF2-40B4-BE49-F238E27FC236}">
              <a16:creationId xmlns:a16="http://schemas.microsoft.com/office/drawing/2014/main" id="{EC76F25E-0D4C-4AF4-AEB5-A4E3748F1A0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152401</xdr:colOff>
      <xdr:row>1</xdr:row>
      <xdr:rowOff>247649</xdr:rowOff>
    </xdr:from>
    <xdr:to>
      <xdr:col>18</xdr:col>
      <xdr:colOff>9525</xdr:colOff>
      <xdr:row>2</xdr:row>
      <xdr:rowOff>1228725</xdr:rowOff>
    </xdr:to>
    <xdr:graphicFrame macro="">
      <xdr:nvGraphicFramePr>
        <xdr:cNvPr id="8" name="Chart 7" descr="Occurences sums per level  (more in analysis sheet)">
          <a:extLst>
            <a:ext uri="{FF2B5EF4-FFF2-40B4-BE49-F238E27FC236}">
              <a16:creationId xmlns:a16="http://schemas.microsoft.com/office/drawing/2014/main" id="{61CE1782-92DE-450C-BBE4-9722D0EF906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152399</xdr:colOff>
      <xdr:row>19</xdr:row>
      <xdr:rowOff>28574</xdr:rowOff>
    </xdr:from>
    <xdr:to>
      <xdr:col>7</xdr:col>
      <xdr:colOff>1038224</xdr:colOff>
      <xdr:row>42</xdr:row>
      <xdr:rowOff>9525</xdr:rowOff>
    </xdr:to>
    <xdr:graphicFrame macro="">
      <xdr:nvGraphicFramePr>
        <xdr:cNvPr id="9" name="Chart 8" descr="Occurences sums per principle pie chart (more in analysis sheet)">
          <a:extLst>
            <a:ext uri="{FF2B5EF4-FFF2-40B4-BE49-F238E27FC236}">
              <a16:creationId xmlns:a16="http://schemas.microsoft.com/office/drawing/2014/main" id="{8F377FC5-8EF8-47A6-B677-0135C2520C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1095375</xdr:colOff>
      <xdr:row>19</xdr:row>
      <xdr:rowOff>38100</xdr:rowOff>
    </xdr:from>
    <xdr:to>
      <xdr:col>17</xdr:col>
      <xdr:colOff>605866</xdr:colOff>
      <xdr:row>42</xdr:row>
      <xdr:rowOff>31750</xdr:rowOff>
    </xdr:to>
    <xdr:graphicFrame macro="">
      <xdr:nvGraphicFramePr>
        <xdr:cNvPr id="10" name="Chart 9" descr="Occurences sums per level pie chart (more in analysis sheet)">
          <a:extLst>
            <a:ext uri="{FF2B5EF4-FFF2-40B4-BE49-F238E27FC236}">
              <a16:creationId xmlns:a16="http://schemas.microsoft.com/office/drawing/2014/main" id="{4684244B-6DB6-4E4C-8B09-A054DF068B1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0</xdr:col>
      <xdr:colOff>152400</xdr:colOff>
      <xdr:row>58</xdr:row>
      <xdr:rowOff>47625</xdr:rowOff>
    </xdr:from>
    <xdr:to>
      <xdr:col>3</xdr:col>
      <xdr:colOff>1171575</xdr:colOff>
      <xdr:row>71</xdr:row>
      <xdr:rowOff>95250</xdr:rowOff>
    </xdr:to>
    <mc:AlternateContent xmlns:mc="http://schemas.openxmlformats.org/markup-compatibility/2006" xmlns:a14="http://schemas.microsoft.com/office/drawing/2010/main">
      <mc:Choice Requires="a14">
        <xdr:graphicFrame macro="">
          <xdr:nvGraphicFramePr>
            <xdr:cNvPr id="11" name="Guideline">
              <a:extLst>
                <a:ext uri="{FF2B5EF4-FFF2-40B4-BE49-F238E27FC236}">
                  <a16:creationId xmlns:a16="http://schemas.microsoft.com/office/drawing/2014/main" id="{F71448AE-7403-49E1-BA72-7CB9A685322A}"/>
                </a:ext>
              </a:extLst>
            </xdr:cNvPr>
            <xdr:cNvGraphicFramePr/>
          </xdr:nvGraphicFramePr>
          <xdr:xfrm>
            <a:off x="0" y="0"/>
            <a:ext cx="0" cy="0"/>
          </xdr:xfrm>
          <a:graphic>
            <a:graphicData uri="http://schemas.microsoft.com/office/drawing/2010/slicer">
              <sle:slicer xmlns:sle="http://schemas.microsoft.com/office/drawing/2010/slicer" name="Guideline"/>
            </a:graphicData>
          </a:graphic>
        </xdr:graphicFrame>
      </mc:Choice>
      <mc:Fallback xmlns="">
        <xdr:sp macro="" textlink="">
          <xdr:nvSpPr>
            <xdr:cNvPr id="0" name=""/>
            <xdr:cNvSpPr>
              <a:spLocks noTextEdit="1"/>
            </xdr:cNvSpPr>
          </xdr:nvSpPr>
          <xdr:spPr>
            <a:xfrm>
              <a:off x="152400" y="9696450"/>
              <a:ext cx="234315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mc:AlternateContent xmlns:mc="http://schemas.openxmlformats.org/markup-compatibility/2006">
    <mc:Choice xmlns:a14="http://schemas.microsoft.com/office/drawing/2010/main" Requires="a14">
      <xdr:twoCellAnchor>
        <xdr:from>
          <xdr:col>3</xdr:col>
          <xdr:colOff>666750</xdr:colOff>
          <xdr:row>15</xdr:row>
          <xdr:rowOff>142875</xdr:rowOff>
        </xdr:from>
        <xdr:to>
          <xdr:col>5</xdr:col>
          <xdr:colOff>523875</xdr:colOff>
          <xdr:row>17</xdr:row>
          <xdr:rowOff>19050</xdr:rowOff>
        </xdr:to>
        <xdr:sp macro="" textlink="">
          <xdr:nvSpPr>
            <xdr:cNvPr id="7177" name="Button 9" hidden="1">
              <a:extLst>
                <a:ext uri="{63B3BB69-23CF-44E3-9099-C40C66FF867C}">
                  <a14:compatExt spid="_x0000_s7177"/>
                </a:ext>
                <a:ext uri="{FF2B5EF4-FFF2-40B4-BE49-F238E27FC236}">
                  <a16:creationId xmlns:a16="http://schemas.microsoft.com/office/drawing/2014/main" id="{00000000-0008-0000-0000-000009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🔄️Refresh</a:t>
              </a:r>
            </a:p>
          </xdr:txBody>
        </xdr:sp>
        <xdr:clientData fPrintsWithSheet="0"/>
      </xdr:twoCellAnchor>
    </mc:Choice>
    <mc:Fallback/>
  </mc:AlternateContent>
  <xdr:twoCellAnchor>
    <xdr:from>
      <xdr:col>4</xdr:col>
      <xdr:colOff>0</xdr:colOff>
      <xdr:row>97</xdr:row>
      <xdr:rowOff>95249</xdr:rowOff>
    </xdr:from>
    <xdr:to>
      <xdr:col>17</xdr:col>
      <xdr:colOff>571500</xdr:colOff>
      <xdr:row>120</xdr:row>
      <xdr:rowOff>28574</xdr:rowOff>
    </xdr:to>
    <xdr:graphicFrame macro="">
      <xdr:nvGraphicFramePr>
        <xdr:cNvPr id="12" name="Chart 11" descr="Guideline analysis chart (more in analysis sheet)">
          <a:extLst>
            <a:ext uri="{FF2B5EF4-FFF2-40B4-BE49-F238E27FC236}">
              <a16:creationId xmlns:a16="http://schemas.microsoft.com/office/drawing/2014/main" id="{5D5DBCFC-5248-408E-9268-A81251FC44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3</xdr:col>
      <xdr:colOff>1209674</xdr:colOff>
      <xdr:row>120</xdr:row>
      <xdr:rowOff>76199</xdr:rowOff>
    </xdr:from>
    <xdr:to>
      <xdr:col>17</xdr:col>
      <xdr:colOff>581024</xdr:colOff>
      <xdr:row>144</xdr:row>
      <xdr:rowOff>123824</xdr:rowOff>
    </xdr:to>
    <xdr:graphicFrame macro="">
      <xdr:nvGraphicFramePr>
        <xdr:cNvPr id="13" name="Chart 12" descr="Guideline analysis pie chart (more in analysis sheet)">
          <a:extLst>
            <a:ext uri="{FF2B5EF4-FFF2-40B4-BE49-F238E27FC236}">
              <a16:creationId xmlns:a16="http://schemas.microsoft.com/office/drawing/2014/main" id="{5AB53518-2356-4420-8A7A-55BDAD0ABD6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152400</xdr:colOff>
      <xdr:row>5</xdr:row>
      <xdr:rowOff>6350</xdr:rowOff>
    </xdr:from>
    <xdr:to>
      <xdr:col>4</xdr:col>
      <xdr:colOff>12700</xdr:colOff>
      <xdr:row>15</xdr:row>
      <xdr:rowOff>88900</xdr:rowOff>
    </xdr:to>
    <mc:AlternateContent xmlns:mc="http://schemas.openxmlformats.org/markup-compatibility/2006">
      <mc:Choice xmlns:cx2="http://schemas.microsoft.com/office/drawing/2015/10/21/chartex" Requires="cx2">
        <xdr:graphicFrame macro="">
          <xdr:nvGraphicFramePr>
            <xdr:cNvPr id="5" name="Chart 4" descr="Top 5 criteria chart (more in analysis sheet)">
              <a:extLst>
                <a:ext uri="{FF2B5EF4-FFF2-40B4-BE49-F238E27FC236}">
                  <a16:creationId xmlns:a16="http://schemas.microsoft.com/office/drawing/2014/main" id="{05A03298-13EE-419F-9249-DE2687727E64}"/>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9"/>
            </a:graphicData>
          </a:graphic>
        </xdr:graphicFrame>
      </mc:Choice>
      <mc:Fallback>
        <xdr:sp macro="" textlink="">
          <xdr:nvSpPr>
            <xdr:cNvPr id="0" name=""/>
            <xdr:cNvSpPr>
              <a:spLocks noTextEdit="1"/>
            </xdr:cNvSpPr>
          </xdr:nvSpPr>
          <xdr:spPr>
            <a:xfrm>
              <a:off x="152400" y="2025650"/>
              <a:ext cx="2393950" cy="198755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5</xdr:col>
      <xdr:colOff>0</xdr:colOff>
      <xdr:row>5</xdr:row>
      <xdr:rowOff>0</xdr:rowOff>
    </xdr:from>
    <xdr:to>
      <xdr:col>7</xdr:col>
      <xdr:colOff>1431192</xdr:colOff>
      <xdr:row>15</xdr:row>
      <xdr:rowOff>82550</xdr:rowOff>
    </xdr:to>
    <mc:AlternateContent xmlns:mc="http://schemas.openxmlformats.org/markup-compatibility/2006">
      <mc:Choice xmlns:cx2="http://schemas.microsoft.com/office/drawing/2015/10/21/chartex" Requires="cx2">
        <xdr:graphicFrame macro="">
          <xdr:nvGraphicFramePr>
            <xdr:cNvPr id="14" name="Chart 13" descr="Top 5 guidelines chart (more in analysis sheet)">
              <a:extLst>
                <a:ext uri="{FF2B5EF4-FFF2-40B4-BE49-F238E27FC236}">
                  <a16:creationId xmlns:a16="http://schemas.microsoft.com/office/drawing/2014/main" id="{28566654-61C7-4F34-A23D-03DBEEDF297F}"/>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0"/>
            </a:graphicData>
          </a:graphic>
        </xdr:graphicFrame>
      </mc:Choice>
      <mc:Fallback>
        <xdr:sp macro="" textlink="">
          <xdr:nvSpPr>
            <xdr:cNvPr id="0" name=""/>
            <xdr:cNvSpPr>
              <a:spLocks noTextEdit="1"/>
            </xdr:cNvSpPr>
          </xdr:nvSpPr>
          <xdr:spPr>
            <a:xfrm>
              <a:off x="2695575" y="2019300"/>
              <a:ext cx="2945667" cy="198755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mc:AlternateContent xmlns:mc="http://schemas.openxmlformats.org/markup-compatibility/2006">
    <mc:Choice xmlns:a14="http://schemas.microsoft.com/office/drawing/2010/main" Requires="a14">
      <xdr:twoCellAnchor>
        <xdr:from>
          <xdr:col>1</xdr:col>
          <xdr:colOff>9525</xdr:colOff>
          <xdr:row>15</xdr:row>
          <xdr:rowOff>133350</xdr:rowOff>
        </xdr:from>
        <xdr:to>
          <xdr:col>3</xdr:col>
          <xdr:colOff>514350</xdr:colOff>
          <xdr:row>17</xdr:row>
          <xdr:rowOff>19050</xdr:rowOff>
        </xdr:to>
        <xdr:sp macro="" textlink="">
          <xdr:nvSpPr>
            <xdr:cNvPr id="7178" name="Button 10" hidden="1">
              <a:extLst>
                <a:ext uri="{63B3BB69-23CF-44E3-9099-C40C66FF867C}">
                  <a14:compatExt spid="_x0000_s7178"/>
                </a:ext>
                <a:ext uri="{FF2B5EF4-FFF2-40B4-BE49-F238E27FC236}">
                  <a16:creationId xmlns:a16="http://schemas.microsoft.com/office/drawing/2014/main" id="{00000000-0008-0000-0000-00000A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🗃️Load Analysis CSV</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1</xdr:row>
          <xdr:rowOff>38100</xdr:rowOff>
        </xdr:from>
        <xdr:to>
          <xdr:col>1</xdr:col>
          <xdr:colOff>1095375</xdr:colOff>
          <xdr:row>2</xdr:row>
          <xdr:rowOff>38100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 Refresh</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19051</xdr:colOff>
      <xdr:row>3</xdr:row>
      <xdr:rowOff>38099</xdr:rowOff>
    </xdr:from>
    <xdr:to>
      <xdr:col>12</xdr:col>
      <xdr:colOff>171451</xdr:colOff>
      <xdr:row>29</xdr:row>
      <xdr:rowOff>30132</xdr:rowOff>
    </xdr:to>
    <xdr:pic>
      <xdr:nvPicPr>
        <xdr:cNvPr id="2" name="Picture 1" descr="Screenshot how to change source file">
          <a:extLst>
            <a:ext uri="{FF2B5EF4-FFF2-40B4-BE49-F238E27FC236}">
              <a16:creationId xmlns:a16="http://schemas.microsoft.com/office/drawing/2014/main" id="{4824118A-E74F-A044-56D9-73D2538E3D0F}"/>
            </a:ext>
            <a:ext uri="{C183D7F6-B498-43B3-948B-1728B52AA6E4}">
              <adec:decorative xmlns:adec="http://schemas.microsoft.com/office/drawing/2017/decorative" val="0"/>
            </a:ext>
          </a:extLst>
        </xdr:cNvPr>
        <xdr:cNvPicPr>
          <a:picLocks noChangeAspect="1"/>
        </xdr:cNvPicPr>
      </xdr:nvPicPr>
      <xdr:blipFill>
        <a:blip xmlns:r="http://schemas.openxmlformats.org/officeDocument/2006/relationships" r:embed="rId1"/>
        <a:stretch>
          <a:fillRect/>
        </a:stretch>
      </xdr:blipFill>
      <xdr:spPr>
        <a:xfrm>
          <a:off x="19051" y="609599"/>
          <a:ext cx="8896350" cy="4945033"/>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constantinos" refreshedDate="46057.781531828703" createdVersion="8" refreshedVersion="8" minRefreshableVersion="3" recordCount="7" xr:uid="{F3F86E5B-3174-4E99-B0B8-FB680E13205D}">
  <cacheSource type="worksheet">
    <worksheetSource name="AggregatedCsv_Source"/>
  </cacheSource>
  <cacheFields count="7">
    <cacheField name="principle" numFmtId="0">
      <sharedItems count="4">
        <s v="Understandable"/>
        <s v="Robust"/>
        <s v="Perceivable"/>
        <s v="Operable"/>
      </sharedItems>
    </cacheField>
    <cacheField name="guidelineId" numFmtId="0">
      <sharedItems count="8">
        <s v="3.1"/>
        <s v="4.1"/>
        <s v="1.4"/>
        <s v="1.1"/>
        <s v="2.1"/>
        <s v="2.4"/>
        <s v="2.5" u="1"/>
        <s v="1.2" u="1"/>
      </sharedItems>
    </cacheField>
    <cacheField name="criterionId" numFmtId="0">
      <sharedItems/>
    </cacheField>
    <cacheField name="occurrences" numFmtId="0">
      <sharedItems containsSemiMixedTypes="0" containsString="0" containsNumber="1" containsInteger="1" minValue="1" maxValue="100"/>
    </cacheField>
    <cacheField name="Criterion - name - EU" numFmtId="0">
      <sharedItems count="9">
        <s v="3.1.1 - Language of page - 9.3.1.1"/>
        <s v="4.1.2 - Name, role, value - 9.4.1.2"/>
        <s v="1.4.3 - Contrast (minimum) - 9.1.4.3"/>
        <s v="1.4.1 - Use of colour - 9.1.4.1"/>
        <s v="1.1.1 - Non-text content - 9.1.1.1"/>
        <s v="2.1.1 - Keyboard - 9.2.1.1"/>
        <s v="2.4.4 - Link purpose (in context) - 9.2.4.4"/>
        <s v="2.4.1 - Bypass blocks - 9.2.4.1" u="1"/>
        <s v="2.5.4 - Motion actuation - 9.2.5.4" u="1"/>
      </sharedItems>
    </cacheField>
    <cacheField name="Guideline" numFmtId="0">
      <sharedItems count="7">
        <s v="3.1 - Readable"/>
        <s v="4.1 - Compatible"/>
        <s v="1.4 - Distinguishable"/>
        <s v="1.1 - Text Alternatives"/>
        <s v="2.1 - Keyboard Accessible"/>
        <s v="2.4 - Navigable"/>
        <s v="2.1 - Operable" u="1"/>
      </sharedItems>
    </cacheField>
    <cacheField name="Level" numFmtId="0">
      <sharedItems/>
    </cacheField>
  </cacheFields>
  <extLst>
    <ext xmlns:x14="http://schemas.microsoft.com/office/spreadsheetml/2009/9/main" uri="{725AE2AE-9491-48be-B2B4-4EB974FC3084}">
      <x14:pivotCacheDefinition pivotCacheId="81185074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
  <r>
    <x v="0"/>
    <x v="0"/>
    <s v="3.1.1"/>
    <n v="100"/>
    <x v="0"/>
    <x v="0"/>
    <s v="A"/>
  </r>
  <r>
    <x v="1"/>
    <x v="1"/>
    <s v="4.1.2"/>
    <n v="11"/>
    <x v="1"/>
    <x v="1"/>
    <s v="A"/>
  </r>
  <r>
    <x v="2"/>
    <x v="2"/>
    <s v="1.4.3"/>
    <n v="42"/>
    <x v="2"/>
    <x v="2"/>
    <s v="AA"/>
  </r>
  <r>
    <x v="2"/>
    <x v="2"/>
    <s v="1.4.1"/>
    <n v="7"/>
    <x v="3"/>
    <x v="2"/>
    <s v="A"/>
  </r>
  <r>
    <x v="2"/>
    <x v="3"/>
    <s v="1.1.1"/>
    <n v="7"/>
    <x v="4"/>
    <x v="3"/>
    <s v="A"/>
  </r>
  <r>
    <x v="3"/>
    <x v="4"/>
    <s v="2.1.1"/>
    <n v="3"/>
    <x v="5"/>
    <x v="4"/>
    <s v="A"/>
  </r>
  <r>
    <x v="3"/>
    <x v="5"/>
    <s v="2.4.4"/>
    <n v="1"/>
    <x v="6"/>
    <x v="5"/>
    <s v="A"/>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01CDD25-41FD-4529-9258-BAA6343827C3}" name="PivotTable2" cacheId="10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5">
  <location ref="D4:E15" firstHeaderRow="1" firstDataRow="1" firstDataCol="1"/>
  <pivotFields count="7">
    <pivotField axis="axisRow" showAll="0">
      <items count="5">
        <item x="3"/>
        <item x="2"/>
        <item x="1"/>
        <item x="0"/>
        <item t="default"/>
      </items>
    </pivotField>
    <pivotField showAll="0"/>
    <pivotField showAll="0"/>
    <pivotField dataField="1" showAll="0"/>
    <pivotField showAll="0">
      <items count="10">
        <item x="4"/>
        <item x="3"/>
        <item x="2"/>
        <item x="5"/>
        <item m="1" x="7"/>
        <item x="6"/>
        <item m="1" x="8"/>
        <item x="0"/>
        <item x="1"/>
        <item t="default"/>
      </items>
    </pivotField>
    <pivotField axis="axisRow" showAll="0">
      <items count="8">
        <item x="3"/>
        <item x="2"/>
        <item m="1" x="6"/>
        <item x="5"/>
        <item x="0"/>
        <item x="1"/>
        <item x="4"/>
        <item t="default"/>
      </items>
    </pivotField>
    <pivotField showAll="0"/>
  </pivotFields>
  <rowFields count="2">
    <field x="0"/>
    <field x="5"/>
  </rowFields>
  <rowItems count="11">
    <i>
      <x/>
    </i>
    <i r="1">
      <x v="3"/>
    </i>
    <i r="1">
      <x v="6"/>
    </i>
    <i>
      <x v="1"/>
    </i>
    <i r="1">
      <x/>
    </i>
    <i r="1">
      <x v="1"/>
    </i>
    <i>
      <x v="2"/>
    </i>
    <i r="1">
      <x v="5"/>
    </i>
    <i>
      <x v="3"/>
    </i>
    <i r="1">
      <x v="4"/>
    </i>
    <i t="grand">
      <x/>
    </i>
  </rowItems>
  <colItems count="1">
    <i/>
  </colItems>
  <dataFields count="1">
    <dataField name="Sum of occurrences" fld="3" baseField="0" baseItem="0"/>
  </dataFields>
  <chartFormats count="9">
    <chartFormat chart="19" format="2" series="1">
      <pivotArea type="data" outline="0" fieldPosition="0">
        <references count="1">
          <reference field="4294967294" count="1" selected="0">
            <x v="0"/>
          </reference>
        </references>
      </pivotArea>
    </chartFormat>
    <chartFormat chart="24" format="8" series="1">
      <pivotArea type="data" outline="0" fieldPosition="0">
        <references count="1">
          <reference field="4294967294" count="1" selected="0">
            <x v="0"/>
          </reference>
        </references>
      </pivotArea>
    </chartFormat>
    <chartFormat chart="24" format="9">
      <pivotArea type="data" outline="0" fieldPosition="0">
        <references count="3">
          <reference field="4294967294" count="1" selected="0">
            <x v="0"/>
          </reference>
          <reference field="0" count="1" selected="0">
            <x v="0"/>
          </reference>
          <reference field="5" count="1" selected="0">
            <x v="2"/>
          </reference>
        </references>
      </pivotArea>
    </chartFormat>
    <chartFormat chart="24" format="10">
      <pivotArea type="data" outline="0" fieldPosition="0">
        <references count="3">
          <reference field="4294967294" count="1" selected="0">
            <x v="0"/>
          </reference>
          <reference field="0" count="1" selected="0">
            <x v="0"/>
          </reference>
          <reference field="5" count="1" selected="0">
            <x v="3"/>
          </reference>
        </references>
      </pivotArea>
    </chartFormat>
    <chartFormat chart="24" format="11">
      <pivotArea type="data" outline="0" fieldPosition="0">
        <references count="3">
          <reference field="4294967294" count="1" selected="0">
            <x v="0"/>
          </reference>
          <reference field="0" count="1" selected="0">
            <x v="1"/>
          </reference>
          <reference field="5" count="1" selected="0">
            <x v="0"/>
          </reference>
        </references>
      </pivotArea>
    </chartFormat>
    <chartFormat chart="24" format="12">
      <pivotArea type="data" outline="0" fieldPosition="0">
        <references count="3">
          <reference field="4294967294" count="1" selected="0">
            <x v="0"/>
          </reference>
          <reference field="0" count="1" selected="0">
            <x v="1"/>
          </reference>
          <reference field="5" count="1" selected="0">
            <x v="1"/>
          </reference>
        </references>
      </pivotArea>
    </chartFormat>
    <chartFormat chart="24" format="13">
      <pivotArea type="data" outline="0" fieldPosition="0">
        <references count="3">
          <reference field="4294967294" count="1" selected="0">
            <x v="0"/>
          </reference>
          <reference field="0" count="1" selected="0">
            <x v="2"/>
          </reference>
          <reference field="5" count="1" selected="0">
            <x v="5"/>
          </reference>
        </references>
      </pivotArea>
    </chartFormat>
    <chartFormat chart="24" format="14">
      <pivotArea type="data" outline="0" fieldPosition="0">
        <references count="3">
          <reference field="4294967294" count="1" selected="0">
            <x v="0"/>
          </reference>
          <reference field="0" count="1" selected="0">
            <x v="3"/>
          </reference>
          <reference field="5" count="1" selected="0">
            <x v="4"/>
          </reference>
        </references>
      </pivotArea>
    </chartFormat>
    <chartFormat chart="24" format="15">
      <pivotArea type="data" outline="0" fieldPosition="0">
        <references count="3">
          <reference field="4294967294" count="1" selected="0">
            <x v="0"/>
          </reference>
          <reference field="0" count="1" selected="0">
            <x v="0"/>
          </reference>
          <reference field="5" count="1" selected="0">
            <x v="6"/>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D8A4ADAA-50CC-4614-A5DE-D7DC65F642AA}" name="PivotTable1" cacheId="10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1">
  <location ref="A4:B22" firstHeaderRow="1" firstDataRow="1" firstDataCol="1"/>
  <pivotFields count="7">
    <pivotField axis="axisRow" showAll="0">
      <items count="5">
        <item x="3"/>
        <item x="2"/>
        <item x="1"/>
        <item x="0"/>
        <item t="default"/>
      </items>
    </pivotField>
    <pivotField axis="axisRow" showAll="0">
      <items count="9">
        <item x="3"/>
        <item x="2"/>
        <item x="5"/>
        <item x="1"/>
        <item m="1" x="7"/>
        <item m="1" x="6"/>
        <item x="0"/>
        <item x="4"/>
        <item t="default"/>
      </items>
    </pivotField>
    <pivotField showAll="0"/>
    <pivotField dataField="1" showAll="0"/>
    <pivotField axis="axisRow" showAll="0">
      <items count="10">
        <item x="4"/>
        <item x="3"/>
        <item x="6"/>
        <item x="1"/>
        <item m="1" x="8"/>
        <item m="1" x="7"/>
        <item x="0"/>
        <item x="2"/>
        <item x="5"/>
        <item t="default"/>
      </items>
    </pivotField>
    <pivotField showAll="0">
      <items count="8">
        <item x="3"/>
        <item x="2"/>
        <item x="4"/>
        <item m="1" x="6"/>
        <item x="5"/>
        <item x="0"/>
        <item x="1"/>
        <item t="default"/>
      </items>
    </pivotField>
    <pivotField showAll="0"/>
  </pivotFields>
  <rowFields count="3">
    <field x="0"/>
    <field x="1"/>
    <field x="4"/>
  </rowFields>
  <rowItems count="18">
    <i>
      <x/>
    </i>
    <i r="1">
      <x v="2"/>
    </i>
    <i r="2">
      <x v="2"/>
    </i>
    <i r="1">
      <x v="7"/>
    </i>
    <i r="2">
      <x v="8"/>
    </i>
    <i>
      <x v="1"/>
    </i>
    <i r="1">
      <x/>
    </i>
    <i r="2">
      <x/>
    </i>
    <i r="1">
      <x v="1"/>
    </i>
    <i r="2">
      <x v="1"/>
    </i>
    <i r="2">
      <x v="7"/>
    </i>
    <i>
      <x v="2"/>
    </i>
    <i r="1">
      <x v="3"/>
    </i>
    <i r="2">
      <x v="3"/>
    </i>
    <i>
      <x v="3"/>
    </i>
    <i r="1">
      <x v="6"/>
    </i>
    <i r="2">
      <x v="6"/>
    </i>
    <i t="grand">
      <x/>
    </i>
  </rowItems>
  <colItems count="1">
    <i/>
  </colItems>
  <dataFields count="1">
    <dataField name="Sum of occurrences" fld="3" baseField="0" baseItem="0"/>
  </dataFields>
  <chartFormats count="9">
    <chartFormat chart="19" format="2" series="1">
      <pivotArea type="data" outline="0" fieldPosition="0">
        <references count="1">
          <reference field="4294967294" count="1" selected="0">
            <x v="0"/>
          </reference>
        </references>
      </pivotArea>
    </chartFormat>
    <chartFormat chart="20" format="22" series="1">
      <pivotArea type="data" outline="0" fieldPosition="0">
        <references count="1">
          <reference field="4294967294" count="1" selected="0">
            <x v="0"/>
          </reference>
        </references>
      </pivotArea>
    </chartFormat>
    <chartFormat chart="20" format="23">
      <pivotArea type="data" outline="0" fieldPosition="0">
        <references count="4">
          <reference field="4294967294" count="1" selected="0">
            <x v="0"/>
          </reference>
          <reference field="0" count="1" selected="0">
            <x v="0"/>
          </reference>
          <reference field="1" count="1" selected="0">
            <x v="2"/>
          </reference>
          <reference field="4" count="1" selected="0">
            <x v="2"/>
          </reference>
        </references>
      </pivotArea>
    </chartFormat>
    <chartFormat chart="20" format="24">
      <pivotArea type="data" outline="0" fieldPosition="0">
        <references count="4">
          <reference field="4294967294" count="1" selected="0">
            <x v="0"/>
          </reference>
          <reference field="0" count="1" selected="0">
            <x v="0"/>
          </reference>
          <reference field="1" count="1" selected="0">
            <x v="7"/>
          </reference>
          <reference field="4" count="1" selected="0">
            <x v="8"/>
          </reference>
        </references>
      </pivotArea>
    </chartFormat>
    <chartFormat chart="20" format="25">
      <pivotArea type="data" outline="0" fieldPosition="0">
        <references count="4">
          <reference field="4294967294" count="1" selected="0">
            <x v="0"/>
          </reference>
          <reference field="0" count="1" selected="0">
            <x v="1"/>
          </reference>
          <reference field="1" count="1" selected="0">
            <x v="0"/>
          </reference>
          <reference field="4" count="1" selected="0">
            <x v="0"/>
          </reference>
        </references>
      </pivotArea>
    </chartFormat>
    <chartFormat chart="20" format="26">
      <pivotArea type="data" outline="0" fieldPosition="0">
        <references count="4">
          <reference field="4294967294" count="1" selected="0">
            <x v="0"/>
          </reference>
          <reference field="0" count="1" selected="0">
            <x v="1"/>
          </reference>
          <reference field="1" count="1" selected="0">
            <x v="1"/>
          </reference>
          <reference field="4" count="1" selected="0">
            <x v="1"/>
          </reference>
        </references>
      </pivotArea>
    </chartFormat>
    <chartFormat chart="20" format="27">
      <pivotArea type="data" outline="0" fieldPosition="0">
        <references count="4">
          <reference field="4294967294" count="1" selected="0">
            <x v="0"/>
          </reference>
          <reference field="0" count="1" selected="0">
            <x v="1"/>
          </reference>
          <reference field="1" count="1" selected="0">
            <x v="1"/>
          </reference>
          <reference field="4" count="1" selected="0">
            <x v="7"/>
          </reference>
        </references>
      </pivotArea>
    </chartFormat>
    <chartFormat chart="20" format="28">
      <pivotArea type="data" outline="0" fieldPosition="0">
        <references count="4">
          <reference field="4294967294" count="1" selected="0">
            <x v="0"/>
          </reference>
          <reference field="0" count="1" selected="0">
            <x v="2"/>
          </reference>
          <reference field="1" count="1" selected="0">
            <x v="3"/>
          </reference>
          <reference field="4" count="1" selected="0">
            <x v="3"/>
          </reference>
        </references>
      </pivotArea>
    </chartFormat>
    <chartFormat chart="20" format="29">
      <pivotArea type="data" outline="0" fieldPosition="0">
        <references count="4">
          <reference field="4294967294" count="1" selected="0">
            <x v="0"/>
          </reference>
          <reference field="0" count="1" selected="0">
            <x v="3"/>
          </reference>
          <reference field="1" count="1" selected="0">
            <x v="6"/>
          </reference>
          <reference field="4" count="1" selected="0">
            <x v="6"/>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 xr16:uid="{5B77D49F-5751-4CB1-84E0-7B90462318F8}" autoFormatId="16" applyNumberFormats="0" applyBorderFormats="0" applyFontFormats="0" applyPatternFormats="0" applyAlignmentFormats="0" applyWidthHeightFormats="0">
  <queryTableRefresh nextId="8" unboundColumnsRight="3">
    <queryTableFields count="7">
      <queryTableField id="1" name="principle" tableColumnId="1"/>
      <queryTableField id="2" name="guidelineId" tableColumnId="2"/>
      <queryTableField id="3" name="criterionId" tableColumnId="3"/>
      <queryTableField id="4" name="occurrences" tableColumnId="4"/>
      <queryTableField id="5" dataBound="0" tableColumnId="5"/>
      <queryTableField id="6" dataBound="0" tableColumnId="6"/>
      <queryTableField id="7" dataBound="0" tableColumnId="7"/>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inciple" xr10:uid="{17798F21-AE96-457D-9161-70CD4B9BB314}" sourceName="principle">
  <pivotTables>
    <pivotTable tabId="3" name="PivotTable1"/>
    <pivotTable tabId="3" name="PivotTable2"/>
  </pivotTables>
  <data>
    <tabular pivotCacheId="811850743">
      <items count="4">
        <i x="3" s="1"/>
        <i x="2" s="1"/>
        <i x="1" s="1"/>
        <i x="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riterion___name___EU" xr10:uid="{6C34D160-D091-424E-92D4-E23FA4FDBF91}" sourceName="Criterion - name - EU">
  <pivotTables>
    <pivotTable tabId="3" name="PivotTable1"/>
    <pivotTable tabId="3" name="PivotTable2"/>
  </pivotTables>
  <data>
    <tabular pivotCacheId="811850743">
      <items count="9">
        <i x="4" s="1"/>
        <i x="3" s="1"/>
        <i x="2" s="1"/>
        <i x="5" s="1"/>
        <i x="6" s="1"/>
        <i x="0" s="1"/>
        <i x="1" s="1"/>
        <i x="7" s="1" nd="1"/>
        <i x="8"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uideline" xr10:uid="{AE75885C-5CFF-4537-A51B-07FE6CDF3873}" sourceName="Guideline">
  <pivotTables>
    <pivotTable tabId="3" name="PivotTable1"/>
    <pivotTable tabId="3" name="PivotTable2"/>
  </pivotTables>
  <data>
    <tabular pivotCacheId="811850743">
      <items count="7">
        <i x="3" s="1"/>
        <i x="2" s="1"/>
        <i x="4" s="1"/>
        <i x="5" s="1"/>
        <i x="0" s="1"/>
        <i x="1" s="1"/>
        <i x="6"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inciple" xr10:uid="{D239803B-2A61-4B0B-9C1D-95569BD02997}" cache="Slicer_principle" caption="Principle" rowHeight="241300"/>
  <slicer name="Criterion - name - EU" xr10:uid="{197E2742-E62E-4BA7-AF3F-79443799EC1E}" cache="Slicer_Criterion___name___EU" caption="Criterion - name - EU" rowHeight="241300"/>
  <slicer name="Guideline" xr10:uid="{572DB0A8-4FCB-435D-9326-490FF4478F1A}" cache="Slicer_Guideline" caption="Guideline"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5A114613-95D5-4FF8-8FA5-420301AF4BB7}" name="AggregatedCsv_Source" displayName="AggregatedCsv_Source" ref="A1:G8" tableType="queryTable" totalsRowShown="0">
  <autoFilter ref="A1:G8" xr:uid="{5A114613-95D5-4FF8-8FA5-420301AF4BB7}"/>
  <tableColumns count="7">
    <tableColumn id="1" xr3:uid="{52C311CB-9E8D-4519-BAE6-1F0694A6B950}" uniqueName="1" name="principle" queryTableFieldId="1" dataDxfId="15"/>
    <tableColumn id="2" xr3:uid="{A4613E89-B79E-4D3E-B745-3193A2CC47BE}" uniqueName="2" name="guidelineId" queryTableFieldId="2" dataDxfId="14"/>
    <tableColumn id="3" xr3:uid="{C3F28355-7B6D-4FD5-B62F-F714B86BD77F}" uniqueName="3" name="criterionId" queryTableFieldId="3" dataDxfId="13"/>
    <tableColumn id="4" xr3:uid="{F90AAC22-FD69-4C6B-BCCD-5BEC3944694A}" uniqueName="4" name="occurrences" queryTableFieldId="4"/>
    <tableColumn id="5" xr3:uid="{D47FEFC0-39D6-4DB9-9BF0-DE42D73D1E83}" uniqueName="5" name="Criterion - name - EU" queryTableFieldId="5" dataDxfId="12">
      <calculatedColumnFormula>AggregatedCsv_Source[[#This Row],[criterionId]] &amp; " - "  &amp; INDEX(Standard[Περιγραφή Ρήτρας],MATCH(AggregatedCsv_Source[[#This Row],[criterionId]],Standard[Κριτήριο WCAG],0)) &amp; " - "  &amp; INDEX(Standard[Ρήτρα Ευρωπαϊκού Πρότυπου],MATCH(AggregatedCsv_Source[[#This Row],[criterionId]],Standard[Κριτήριο WCAG],0))</calculatedColumnFormula>
    </tableColumn>
    <tableColumn id="6" xr3:uid="{46FDB865-84CF-4635-9699-DDCD56305FDC}" uniqueName="6" name="Guideline" queryTableFieldId="6" dataDxfId="11">
      <calculatedColumnFormula>AggregatedCsv_Source[[#This Row],[guidelineId]] &amp; " - "  &amp; INDEX(Standard[Guideline],MATCH(AggregatedCsv_Source[[#This Row],[criterionId]],Standard[Κριτήριο WCAG],0))</calculatedColumnFormula>
    </tableColumn>
    <tableColumn id="7" xr3:uid="{BB57C383-0323-4362-B7A8-169FCE3DF877}" uniqueName="7" name="Level" queryTableFieldId="7" dataDxfId="10">
      <calculatedColumnFormula>INDEX(Standard[Επίπεδο Συμμόρφωσης],MATCH(AggregatedCsv_Source[[#This Row],[criterionId]],Standard[Κριτήριο WCAG],0))</calculatedColumnFormula>
    </tableColumn>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3F1260B-E001-4089-B5A1-BAD031E54501}" name="Standard" displayName="Standard" ref="A1:G51" totalsRowShown="0" headerRowDxfId="9" dataDxfId="8" tableBorderDxfId="7">
  <autoFilter ref="A1:G51" xr:uid="{83F1260B-E001-4089-B5A1-BAD031E54501}"/>
  <tableColumns count="7">
    <tableColumn id="1" xr3:uid="{C09F1AE9-882C-41F7-A6F7-B202EBA0ABE0}" name="Περιγραφή Ρήτρας" dataDxfId="6"/>
    <tableColumn id="2" xr3:uid="{DDB2D8AC-227F-4DCB-B2EC-3FAA109E598D}" name="Κριτήριο WCAG" dataDxfId="5"/>
    <tableColumn id="3" xr3:uid="{01E53029-135C-4F95-B865-D924638E2BCE}" name="Ρήτρα Ευρωπαϊκού Πρότυπου" dataDxfId="4"/>
    <tableColumn id="4" xr3:uid="{66A5270C-113A-41F0-AF10-94383BAE1152}" name="Επίπεδο Συμμόρφωσης" dataDxfId="3"/>
    <tableColumn id="5" xr3:uid="{AE9592D5-2CA8-4721-9C1F-9105D4D34ED8}" name="Αρχή" dataDxfId="2"/>
    <tableColumn id="6" xr3:uid="{63DB42AC-F3B9-4A2F-886C-B1CD0FFEDDA7}" name="Ανάγκη Προσβασιμότητας Χρήστη" dataDxfId="1"/>
    <tableColumn id="7" xr3:uid="{9B0E8256-881E-4944-8BD8-5FBD69A113CC}" name="Guideline" dataDxfId="0"/>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microsoft.com/office/2007/relationships/slicer" Target="../slicers/slicer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openxmlformats.org/officeDocument/2006/relationships/ctrlProp" Target="../ctrlProps/ctrlProp3.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D72767-D74C-4153-B754-A2E62F5B3941}">
  <sheetPr codeName="Sheet2"/>
  <dimension ref="B1:R98"/>
  <sheetViews>
    <sheetView tabSelected="1" topLeftCell="A3" zoomScaleNormal="100" workbookViewId="0">
      <selection activeCell="M13" sqref="M13"/>
    </sheetView>
  </sheetViews>
  <sheetFormatPr defaultColWidth="9.140625" defaultRowHeight="15" x14ac:dyDescent="0.25"/>
  <cols>
    <col min="1" max="1" width="2.42578125" style="19" customWidth="1"/>
    <col min="2" max="2" width="15" style="19" bestFit="1" customWidth="1"/>
    <col min="3" max="3" width="2.42578125" style="19" customWidth="1"/>
    <col min="4" max="4" width="18.140625" style="19" bestFit="1" customWidth="1"/>
    <col min="5" max="5" width="2.42578125" style="19" customWidth="1"/>
    <col min="6" max="6" width="21.140625" style="19" bestFit="1" customWidth="1"/>
    <col min="7" max="7" width="2.42578125" style="19" customWidth="1"/>
    <col min="8" max="8" width="20.5703125" style="19" bestFit="1" customWidth="1"/>
    <col min="9" max="9" width="2.42578125" style="19" customWidth="1"/>
    <col min="10" max="10" width="9.140625" style="19" customWidth="1"/>
    <col min="11" max="13" width="9.140625" style="19"/>
    <col min="14" max="14" width="13.7109375" style="19" customWidth="1"/>
    <col min="15" max="15" width="2.42578125" style="19" customWidth="1"/>
    <col min="16" max="18" width="9.140625" style="19"/>
    <col min="19" max="19" width="2.42578125" style="19" customWidth="1"/>
    <col min="20" max="16384" width="9.140625" style="19"/>
  </cols>
  <sheetData>
    <row r="1" spans="2:18" ht="7.5" customHeight="1" x14ac:dyDescent="0.25"/>
    <row r="2" spans="2:18" ht="19.5" customHeight="1" x14ac:dyDescent="0.25">
      <c r="B2" s="20" t="s">
        <v>251</v>
      </c>
      <c r="D2" s="20" t="s">
        <v>235</v>
      </c>
      <c r="F2" s="20" t="s">
        <v>236</v>
      </c>
      <c r="H2" s="20" t="s">
        <v>237</v>
      </c>
      <c r="J2" s="23" t="s">
        <v>252</v>
      </c>
      <c r="K2" s="23"/>
      <c r="L2" s="23"/>
      <c r="M2" s="23"/>
      <c r="N2" s="23"/>
      <c r="P2" s="23" t="s">
        <v>253</v>
      </c>
      <c r="Q2" s="23"/>
      <c r="R2" s="23"/>
    </row>
    <row r="3" spans="2:18" ht="97.5" customHeight="1" x14ac:dyDescent="0.25">
      <c r="B3" s="21">
        <f>Analysis!H25</f>
        <v>171</v>
      </c>
      <c r="D3" s="21">
        <f>Analysis!H22</f>
        <v>7</v>
      </c>
      <c r="F3" s="21">
        <f>Analysis!H23</f>
        <v>6</v>
      </c>
      <c r="H3" s="21">
        <f>Analysis!H24</f>
        <v>4</v>
      </c>
    </row>
    <row r="5" spans="2:18" ht="19.5" customHeight="1" x14ac:dyDescent="0.25">
      <c r="B5" s="23" t="s">
        <v>259</v>
      </c>
      <c r="C5" s="23"/>
      <c r="D5" s="23"/>
      <c r="F5" s="23" t="s">
        <v>279</v>
      </c>
      <c r="G5" s="23"/>
      <c r="H5" s="23"/>
    </row>
    <row r="17" spans="2:18" ht="21.75" customHeight="1" x14ac:dyDescent="0.25"/>
    <row r="18" spans="2:18" ht="7.5" customHeight="1" x14ac:dyDescent="0.25"/>
    <row r="19" spans="2:18" ht="25.5" customHeight="1" x14ac:dyDescent="0.25">
      <c r="B19" s="24" t="s">
        <v>249</v>
      </c>
      <c r="C19" s="24"/>
      <c r="D19" s="24"/>
      <c r="E19" s="24"/>
      <c r="F19" s="24"/>
      <c r="G19" s="24"/>
      <c r="H19" s="24"/>
      <c r="I19" s="24"/>
      <c r="J19" s="24"/>
      <c r="K19" s="24"/>
      <c r="L19" s="24"/>
      <c r="M19" s="24"/>
      <c r="N19" s="24"/>
      <c r="O19" s="24"/>
      <c r="P19" s="24"/>
      <c r="Q19" s="24"/>
      <c r="R19" s="24"/>
    </row>
    <row r="43" spans="2:18" ht="7.5" customHeight="1" x14ac:dyDescent="0.25"/>
    <row r="44" spans="2:18" ht="25.5" customHeight="1" x14ac:dyDescent="0.25">
      <c r="B44" s="24" t="s">
        <v>248</v>
      </c>
      <c r="C44" s="24"/>
      <c r="D44" s="24"/>
      <c r="E44" s="24"/>
      <c r="F44" s="24"/>
      <c r="G44" s="24"/>
      <c r="H44" s="24"/>
      <c r="I44" s="24"/>
      <c r="J44" s="24"/>
      <c r="K44" s="24"/>
      <c r="L44" s="24"/>
      <c r="M44" s="24"/>
      <c r="N44" s="24"/>
      <c r="O44" s="24"/>
      <c r="P44" s="24"/>
      <c r="Q44" s="24"/>
      <c r="R44" s="24"/>
    </row>
    <row r="45" spans="2:18" ht="7.5" customHeight="1" x14ac:dyDescent="0.25"/>
    <row r="46" spans="2:18" x14ac:dyDescent="0.25">
      <c r="E46" s="22" t="s">
        <v>246</v>
      </c>
      <c r="F46" s="22"/>
      <c r="G46" s="22"/>
      <c r="H46" s="22"/>
      <c r="I46" s="22"/>
      <c r="J46" s="22"/>
      <c r="K46" s="22"/>
      <c r="L46" s="22"/>
      <c r="M46" s="22"/>
      <c r="N46" s="22"/>
      <c r="O46" s="22"/>
      <c r="P46" s="22"/>
      <c r="Q46" s="22"/>
      <c r="R46" s="22"/>
    </row>
    <row r="96" ht="7.5" customHeight="1" x14ac:dyDescent="0.25"/>
    <row r="97" spans="5:18" x14ac:dyDescent="0.25">
      <c r="E97" s="22" t="s">
        <v>254</v>
      </c>
      <c r="F97" s="22"/>
      <c r="G97" s="22"/>
      <c r="H97" s="22"/>
      <c r="I97" s="22"/>
      <c r="J97" s="22"/>
      <c r="K97" s="22"/>
      <c r="L97" s="22"/>
      <c r="M97" s="22"/>
      <c r="N97" s="22"/>
      <c r="O97" s="22"/>
      <c r="P97" s="22"/>
      <c r="Q97" s="22"/>
      <c r="R97" s="22"/>
    </row>
    <row r="98" spans="5:18" ht="7.5" customHeight="1" x14ac:dyDescent="0.25"/>
  </sheetData>
  <sheetProtection sheet="1" objects="1" scenarios="1" autoFilter="0" pivotTables="0"/>
  <mergeCells count="8">
    <mergeCell ref="E97:R97"/>
    <mergeCell ref="J2:N2"/>
    <mergeCell ref="P2:R2"/>
    <mergeCell ref="B19:R19"/>
    <mergeCell ref="B44:R44"/>
    <mergeCell ref="E46:R46"/>
    <mergeCell ref="B5:D5"/>
    <mergeCell ref="F5:H5"/>
  </mergeCells>
  <pageMargins left="0.39370078740157483" right="0.39370078740157483" top="0.39370078740157483" bottom="0.39370078740157483" header="0" footer="0"/>
  <pageSetup scale="72" orientation="landscape" r:id="rId1"/>
  <rowBreaks count="2" manualBreakCount="2">
    <brk id="43" max="18" man="1"/>
    <brk id="95" max="18" man="1"/>
  </rowBreaks>
  <drawing r:id="rId2"/>
  <legacyDrawing r:id="rId3"/>
  <mc:AlternateContent xmlns:mc="http://schemas.openxmlformats.org/markup-compatibility/2006">
    <mc:Choice Requires="x14">
      <controls>
        <mc:AlternateContent xmlns:mc="http://schemas.openxmlformats.org/markup-compatibility/2006">
          <mc:Choice Requires="x14">
            <control shapeId="7177" r:id="rId4" name="Button 9">
              <controlPr defaultSize="0" print="0" autoFill="0" autoPict="0" macro="[0]!ThisWorkbook.RefreshAllData">
                <anchor moveWithCells="1" sizeWithCells="1">
                  <from>
                    <xdr:col>3</xdr:col>
                    <xdr:colOff>666750</xdr:colOff>
                    <xdr:row>15</xdr:row>
                    <xdr:rowOff>142875</xdr:rowOff>
                  </from>
                  <to>
                    <xdr:col>5</xdr:col>
                    <xdr:colOff>523875</xdr:colOff>
                    <xdr:row>17</xdr:row>
                    <xdr:rowOff>19050</xdr:rowOff>
                  </to>
                </anchor>
              </controlPr>
            </control>
          </mc:Choice>
        </mc:AlternateContent>
        <mc:AlternateContent xmlns:mc="http://schemas.openxmlformats.org/markup-compatibility/2006">
          <mc:Choice Requires="x14">
            <control shapeId="7178" r:id="rId5" name="Button 10">
              <controlPr defaultSize="0" print="0" autoFill="0" autoPict="0" macro="[0]!ThisWorkbook.SelectAggregatedCsvFile">
                <anchor moveWithCells="1" sizeWithCells="1">
                  <from>
                    <xdr:col>1</xdr:col>
                    <xdr:colOff>9525</xdr:colOff>
                    <xdr:row>15</xdr:row>
                    <xdr:rowOff>133350</xdr:rowOff>
                  </from>
                  <to>
                    <xdr:col>3</xdr:col>
                    <xdr:colOff>514350</xdr:colOff>
                    <xdr:row>17</xdr:row>
                    <xdr:rowOff>19050</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2:O42"/>
  <sheetViews>
    <sheetView showGridLines="0" zoomScaleNormal="100" workbookViewId="0">
      <selection activeCell="G38" sqref="G38"/>
    </sheetView>
  </sheetViews>
  <sheetFormatPr defaultRowHeight="15" x14ac:dyDescent="0.25"/>
  <cols>
    <col min="1" max="1" width="42.5703125" bestFit="1" customWidth="1"/>
    <col min="2" max="2" width="18.42578125" bestFit="1" customWidth="1"/>
    <col min="4" max="4" width="27.42578125" bestFit="1" customWidth="1"/>
    <col min="5" max="5" width="18.42578125" bestFit="1" customWidth="1"/>
    <col min="7" max="7" width="22.140625" bestFit="1" customWidth="1"/>
    <col min="8" max="8" width="11.5703125" customWidth="1"/>
    <col min="9" max="9" width="11" bestFit="1" customWidth="1"/>
    <col min="10" max="10" width="10.42578125" bestFit="1" customWidth="1"/>
    <col min="11" max="11" width="30.85546875" bestFit="1" customWidth="1"/>
    <col min="12" max="12" width="19" bestFit="1" customWidth="1"/>
    <col min="17" max="17" width="8.7109375" customWidth="1"/>
    <col min="18" max="19" width="10.28515625" customWidth="1"/>
    <col min="20" max="20" width="10.140625" customWidth="1"/>
    <col min="21" max="21" width="10.42578125" bestFit="1" customWidth="1"/>
    <col min="22" max="22" width="5.42578125" customWidth="1"/>
    <col min="23" max="23" width="12.5703125" customWidth="1"/>
    <col min="24" max="24" width="9.7109375" customWidth="1"/>
    <col min="25" max="25" width="10.140625" customWidth="1"/>
    <col min="27" max="27" width="24.7109375" bestFit="1" customWidth="1"/>
    <col min="28" max="28" width="18.42578125" bestFit="1" customWidth="1"/>
    <col min="29" max="29" width="10.5703125" customWidth="1"/>
  </cols>
  <sheetData>
    <row r="2" spans="1:15" ht="18.75" x14ac:dyDescent="0.3">
      <c r="A2" s="17" t="s">
        <v>248</v>
      </c>
      <c r="G2" s="17" t="s">
        <v>249</v>
      </c>
    </row>
    <row r="3" spans="1:15" x14ac:dyDescent="0.25">
      <c r="A3" s="15" t="s">
        <v>245</v>
      </c>
      <c r="D3" s="15" t="s">
        <v>247</v>
      </c>
    </row>
    <row r="4" spans="1:15" x14ac:dyDescent="0.25">
      <c r="A4" s="1" t="s">
        <v>19</v>
      </c>
      <c r="B4" t="s">
        <v>21</v>
      </c>
      <c r="D4" s="1" t="s">
        <v>19</v>
      </c>
      <c r="E4" t="s">
        <v>21</v>
      </c>
      <c r="G4" s="15" t="s">
        <v>230</v>
      </c>
      <c r="K4" s="15" t="s">
        <v>260</v>
      </c>
    </row>
    <row r="5" spans="1:15" x14ac:dyDescent="0.25">
      <c r="A5" s="2" t="s">
        <v>15</v>
      </c>
      <c r="B5">
        <v>4</v>
      </c>
      <c r="D5" s="2" t="s">
        <v>15</v>
      </c>
      <c r="E5">
        <v>4</v>
      </c>
      <c r="G5" s="15" t="s">
        <v>1</v>
      </c>
      <c r="H5" s="15" t="s">
        <v>2</v>
      </c>
      <c r="I5" s="16" t="s">
        <v>22</v>
      </c>
      <c r="K5" s="15" t="s">
        <v>268</v>
      </c>
      <c r="L5" s="15" t="s">
        <v>212</v>
      </c>
      <c r="M5" s="15" t="s">
        <v>2</v>
      </c>
      <c r="N5" s="15" t="s">
        <v>22</v>
      </c>
    </row>
    <row r="6" spans="1:15" x14ac:dyDescent="0.25">
      <c r="A6" s="3" t="s">
        <v>16</v>
      </c>
      <c r="B6">
        <v>1</v>
      </c>
      <c r="D6" s="3" t="s">
        <v>240</v>
      </c>
      <c r="E6">
        <v>1</v>
      </c>
      <c r="G6" t="s">
        <v>10</v>
      </c>
      <c r="H6">
        <f>SUMIF(Raw!$A:$A, G6, Raw!$D:$D)</f>
        <v>56</v>
      </c>
      <c r="I6" s="5">
        <f>_xlfn.PERCENTOF(H6,$H$6:$H$9)</f>
        <v>0.32748538011695905</v>
      </c>
      <c r="K6" s="15" t="s">
        <v>11</v>
      </c>
      <c r="L6" t="s">
        <v>241</v>
      </c>
      <c r="M6">
        <f>SUMIF(Raw!$B:$B, K6, Raw!$D:$D)</f>
        <v>7</v>
      </c>
      <c r="N6" s="5">
        <f t="shared" ref="N6:N18" si="0">_xlfn.PERCENTOF(M6,$M$6:$M$18)</f>
        <v>4.0935672514619881E-2</v>
      </c>
      <c r="O6">
        <f>SUMIF(Raw!$F:$F, L6, Raw!$D:$D)</f>
        <v>7</v>
      </c>
    </row>
    <row r="7" spans="1:15" x14ac:dyDescent="0.25">
      <c r="A7" s="4" t="s">
        <v>208</v>
      </c>
      <c r="B7">
        <v>1</v>
      </c>
      <c r="D7" s="3" t="s">
        <v>271</v>
      </c>
      <c r="E7">
        <v>3</v>
      </c>
      <c r="G7" t="s">
        <v>15</v>
      </c>
      <c r="H7">
        <f>SUMIF(Raw!$A:$A, G7, Raw!$D:$D)</f>
        <v>4</v>
      </c>
      <c r="I7" s="5">
        <f>_xlfn.PERCENTOF(H7,$H$6:$H$9)</f>
        <v>2.3391812865497075E-2</v>
      </c>
      <c r="K7" s="15" t="s">
        <v>261</v>
      </c>
      <c r="L7" t="s">
        <v>269</v>
      </c>
      <c r="M7">
        <f>SUMIF(Raw!$B:$B, K7, Raw!$D:$D)</f>
        <v>0</v>
      </c>
      <c r="N7" s="5">
        <f t="shared" si="0"/>
        <v>0</v>
      </c>
      <c r="O7">
        <f>SUMIF(Raw!$F:$F, L7, Raw!$D:$D)</f>
        <v>0</v>
      </c>
    </row>
    <row r="8" spans="1:15" x14ac:dyDescent="0.25">
      <c r="A8" s="3" t="s">
        <v>226</v>
      </c>
      <c r="B8">
        <v>3</v>
      </c>
      <c r="D8" s="2" t="s">
        <v>10</v>
      </c>
      <c r="E8">
        <v>56</v>
      </c>
      <c r="G8" t="s">
        <v>18</v>
      </c>
      <c r="H8">
        <f>SUMIF(Raw!$A:$A, G8, Raw!$D:$D)</f>
        <v>100</v>
      </c>
      <c r="I8" s="5">
        <f>_xlfn.PERCENTOF(H8,$H$6:$H$9)</f>
        <v>0.58479532163742687</v>
      </c>
      <c r="K8" s="15" t="s">
        <v>262</v>
      </c>
      <c r="L8" t="s">
        <v>270</v>
      </c>
      <c r="M8">
        <f>SUMIF(Raw!$B:$B, K8, Raw!$D:$D)</f>
        <v>0</v>
      </c>
      <c r="N8" s="5">
        <f t="shared" si="0"/>
        <v>0</v>
      </c>
      <c r="O8">
        <f>SUMIF(Raw!$F:$F, L8, Raw!$D:$D)</f>
        <v>0</v>
      </c>
    </row>
    <row r="9" spans="1:15" x14ac:dyDescent="0.25">
      <c r="A9" s="4" t="s">
        <v>227</v>
      </c>
      <c r="B9">
        <v>3</v>
      </c>
      <c r="D9" s="3" t="s">
        <v>241</v>
      </c>
      <c r="E9">
        <v>7</v>
      </c>
      <c r="G9" t="s">
        <v>7</v>
      </c>
      <c r="H9">
        <f>SUMIF(Raw!$A:$A, G9, Raw!$D:$D)</f>
        <v>11</v>
      </c>
      <c r="I9" s="5">
        <f>_xlfn.PERCENTOF(H9,$H$6:$H$9)</f>
        <v>6.4327485380116955E-2</v>
      </c>
      <c r="K9" s="15" t="s">
        <v>13</v>
      </c>
      <c r="L9" t="s">
        <v>242</v>
      </c>
      <c r="M9">
        <f>SUMIF(Raw!$B:$B, K9, Raw!$D:$D)</f>
        <v>49</v>
      </c>
      <c r="N9" s="5">
        <f t="shared" si="0"/>
        <v>0.28654970760233917</v>
      </c>
      <c r="O9">
        <f>SUMIF(Raw!$F:$F, L9, Raw!$D:$D)</f>
        <v>49</v>
      </c>
    </row>
    <row r="10" spans="1:15" x14ac:dyDescent="0.25">
      <c r="A10" s="2" t="s">
        <v>10</v>
      </c>
      <c r="B10">
        <v>56</v>
      </c>
      <c r="D10" s="3" t="s">
        <v>242</v>
      </c>
      <c r="E10">
        <v>49</v>
      </c>
      <c r="H10">
        <f>SUM(H6:H9)</f>
        <v>171</v>
      </c>
      <c r="I10" s="5">
        <f>SUM(I6:I9)</f>
        <v>1</v>
      </c>
      <c r="K10" s="15" t="s">
        <v>226</v>
      </c>
      <c r="L10" t="s">
        <v>271</v>
      </c>
      <c r="M10">
        <f>SUMIF(Raw!$B:$B, K10, Raw!$D:$D)</f>
        <v>3</v>
      </c>
      <c r="N10" s="5">
        <f t="shared" si="0"/>
        <v>1.7543859649122806E-2</v>
      </c>
      <c r="O10">
        <f>SUMIF(Raw!$F:$F, L10, Raw!$D:$D)</f>
        <v>3</v>
      </c>
    </row>
    <row r="11" spans="1:15" x14ac:dyDescent="0.25">
      <c r="A11" s="3" t="s">
        <v>11</v>
      </c>
      <c r="B11">
        <v>7</v>
      </c>
      <c r="D11" s="2" t="s">
        <v>7</v>
      </c>
      <c r="E11">
        <v>11</v>
      </c>
      <c r="K11" s="15" t="s">
        <v>263</v>
      </c>
      <c r="L11" t="s">
        <v>273</v>
      </c>
      <c r="M11">
        <f>SUMIF(Raw!$B:$B, K11, Raw!$D:$D)</f>
        <v>0</v>
      </c>
      <c r="N11" s="5">
        <f t="shared" si="0"/>
        <v>0</v>
      </c>
      <c r="O11">
        <f>SUMIF(Raw!$F:$F, L11, Raw!$D:$D)</f>
        <v>0</v>
      </c>
    </row>
    <row r="12" spans="1:15" x14ac:dyDescent="0.25">
      <c r="A12" s="4" t="s">
        <v>209</v>
      </c>
      <c r="B12">
        <v>7</v>
      </c>
      <c r="D12" s="3" t="s">
        <v>243</v>
      </c>
      <c r="E12">
        <v>11</v>
      </c>
      <c r="K12" s="15" t="s">
        <v>264</v>
      </c>
      <c r="L12" t="s">
        <v>274</v>
      </c>
      <c r="M12">
        <f>SUMIF(Raw!$B:$B, K12, Raw!$D:$D)</f>
        <v>0</v>
      </c>
      <c r="N12" s="5">
        <f t="shared" si="0"/>
        <v>0</v>
      </c>
      <c r="O12">
        <f>SUMIF(Raw!$F:$F, L12, Raw!$D:$D)</f>
        <v>0</v>
      </c>
    </row>
    <row r="13" spans="1:15" x14ac:dyDescent="0.25">
      <c r="A13" s="3" t="s">
        <v>13</v>
      </c>
      <c r="B13">
        <v>49</v>
      </c>
      <c r="D13" s="2" t="s">
        <v>18</v>
      </c>
      <c r="E13">
        <v>100</v>
      </c>
      <c r="G13" s="15" t="s">
        <v>232</v>
      </c>
      <c r="K13" s="15" t="s">
        <v>16</v>
      </c>
      <c r="L13" t="s">
        <v>240</v>
      </c>
      <c r="M13">
        <f>SUMIF(Raw!$B:$B, K13, Raw!$D:$D)</f>
        <v>1</v>
      </c>
      <c r="N13" s="5">
        <f t="shared" si="0"/>
        <v>5.8479532163742687E-3</v>
      </c>
      <c r="O13">
        <f>SUMIF(Raw!$F:$F, L13, Raw!$D:$D)</f>
        <v>1</v>
      </c>
    </row>
    <row r="14" spans="1:15" x14ac:dyDescent="0.25">
      <c r="A14" s="4" t="s">
        <v>210</v>
      </c>
      <c r="B14">
        <v>7</v>
      </c>
      <c r="D14" s="3" t="s">
        <v>244</v>
      </c>
      <c r="E14">
        <v>100</v>
      </c>
      <c r="G14" s="15" t="s">
        <v>231</v>
      </c>
      <c r="H14" s="15" t="s">
        <v>2</v>
      </c>
      <c r="I14" s="15" t="s">
        <v>22</v>
      </c>
      <c r="K14" s="15" t="s">
        <v>265</v>
      </c>
      <c r="L14" t="s">
        <v>275</v>
      </c>
      <c r="M14">
        <f>SUMIF(Raw!$B:$B, K14, Raw!$D:$D)</f>
        <v>0</v>
      </c>
      <c r="N14" s="5">
        <f t="shared" si="0"/>
        <v>0</v>
      </c>
      <c r="O14">
        <f>SUMIF(Raw!$F:$F, L14, Raw!$D:$D)</f>
        <v>0</v>
      </c>
    </row>
    <row r="15" spans="1:15" x14ac:dyDescent="0.25">
      <c r="A15" s="4" t="s">
        <v>228</v>
      </c>
      <c r="B15">
        <v>42</v>
      </c>
      <c r="D15" s="2" t="s">
        <v>20</v>
      </c>
      <c r="E15">
        <v>171</v>
      </c>
      <c r="G15" t="s">
        <v>31</v>
      </c>
      <c r="H15">
        <f>SUMIF(Raw!$G:$G, G15, Raw!$D:$D)</f>
        <v>129</v>
      </c>
      <c r="I15" s="5">
        <f>_xlfn.PERCENTOF(H15,$H$15:$H$17)</f>
        <v>0.75438596491228072</v>
      </c>
      <c r="K15" s="15" t="s">
        <v>225</v>
      </c>
      <c r="L15" t="s">
        <v>244</v>
      </c>
      <c r="M15">
        <f>SUMIF(Raw!$B:$B, K15, Raw!$D:$D)</f>
        <v>100</v>
      </c>
      <c r="N15" s="5">
        <f t="shared" si="0"/>
        <v>0.58479532163742687</v>
      </c>
      <c r="O15">
        <f>SUMIF(Raw!$F:$F, L15, Raw!$D:$D)</f>
        <v>100</v>
      </c>
    </row>
    <row r="16" spans="1:15" x14ac:dyDescent="0.25">
      <c r="A16" s="2" t="s">
        <v>7</v>
      </c>
      <c r="B16">
        <v>11</v>
      </c>
      <c r="G16" t="s">
        <v>48</v>
      </c>
      <c r="H16">
        <f>SUMIF(Raw!$G:$G, G16, Raw!$D:$D)</f>
        <v>42</v>
      </c>
      <c r="I16" s="5">
        <f>_xlfn.PERCENTOF(H16,$H$15:$H$17)</f>
        <v>0.24561403508771928</v>
      </c>
      <c r="K16" s="15" t="s">
        <v>266</v>
      </c>
      <c r="L16" t="s">
        <v>276</v>
      </c>
      <c r="M16">
        <f>SUMIF(Raw!$B:$B, K16, Raw!$D:$D)</f>
        <v>0</v>
      </c>
      <c r="N16" s="5">
        <f t="shared" si="0"/>
        <v>0</v>
      </c>
      <c r="O16">
        <f>SUMIF(Raw!$F:$F, L16, Raw!$D:$D)</f>
        <v>0</v>
      </c>
    </row>
    <row r="17" spans="1:15" x14ac:dyDescent="0.25">
      <c r="A17" s="3" t="s">
        <v>8</v>
      </c>
      <c r="B17">
        <v>11</v>
      </c>
      <c r="G17" t="s">
        <v>233</v>
      </c>
      <c r="H17">
        <f>SUMIF(Raw!$G:$G, G17, Raw!$D:$D)</f>
        <v>0</v>
      </c>
      <c r="I17" s="5">
        <f>_xlfn.PERCENTOF(H17,$H$15:$H$17)</f>
        <v>0</v>
      </c>
      <c r="K17" s="15" t="s">
        <v>267</v>
      </c>
      <c r="L17" t="s">
        <v>277</v>
      </c>
      <c r="M17">
        <f>SUMIF(Raw!$B:$B, K17, Raw!$D:$D)</f>
        <v>0</v>
      </c>
      <c r="N17" s="5">
        <f t="shared" si="0"/>
        <v>0</v>
      </c>
      <c r="O17">
        <f>SUMIF(Raw!$F:$F, L17, Raw!$D:$D)</f>
        <v>0</v>
      </c>
    </row>
    <row r="18" spans="1:15" x14ac:dyDescent="0.25">
      <c r="A18" s="4" t="s">
        <v>211</v>
      </c>
      <c r="B18">
        <v>11</v>
      </c>
      <c r="H18">
        <f>SUM(H15:H17)</f>
        <v>171</v>
      </c>
      <c r="I18" s="5">
        <f>SUM(I15:I17)</f>
        <v>1</v>
      </c>
      <c r="K18" s="15" t="s">
        <v>8</v>
      </c>
      <c r="L18" t="s">
        <v>243</v>
      </c>
      <c r="M18">
        <f>SUMIF(Raw!$B:$B, K18, Raw!$D:$D)</f>
        <v>11</v>
      </c>
      <c r="N18" s="5">
        <f t="shared" si="0"/>
        <v>6.4327485380116955E-2</v>
      </c>
      <c r="O18">
        <f>SUMIF(Raw!$F:$F, L18, Raw!$D:$D)</f>
        <v>11</v>
      </c>
    </row>
    <row r="19" spans="1:15" x14ac:dyDescent="0.25">
      <c r="A19" s="2" t="s">
        <v>18</v>
      </c>
      <c r="B19">
        <v>100</v>
      </c>
      <c r="M19">
        <f>SUM(M6:M18)</f>
        <v>171</v>
      </c>
      <c r="N19" s="5">
        <f>SUM(N6:N18)</f>
        <v>1</v>
      </c>
    </row>
    <row r="20" spans="1:15" ht="18.75" x14ac:dyDescent="0.3">
      <c r="A20" s="3" t="s">
        <v>225</v>
      </c>
      <c r="B20">
        <v>100</v>
      </c>
      <c r="G20" s="17" t="s">
        <v>250</v>
      </c>
    </row>
    <row r="21" spans="1:15" ht="30" x14ac:dyDescent="0.25">
      <c r="A21" s="4" t="s">
        <v>229</v>
      </c>
      <c r="B21">
        <v>100</v>
      </c>
      <c r="G21" s="18" t="s">
        <v>234</v>
      </c>
      <c r="H21" s="14" t="str">
        <f>IF(COUNTA(Raw!A:A)=0,"⚠ No data loaded","✓ Data loaded")</f>
        <v>✓ Data loaded</v>
      </c>
    </row>
    <row r="22" spans="1:15" x14ac:dyDescent="0.25">
      <c r="A22" s="2" t="s">
        <v>20</v>
      </c>
      <c r="B22">
        <v>171</v>
      </c>
      <c r="G22" s="15" t="s">
        <v>235</v>
      </c>
      <c r="H22">
        <f>COUNTA(AggregatedCsv_Source[guidelineId])</f>
        <v>7</v>
      </c>
    </row>
    <row r="23" spans="1:15" x14ac:dyDescent="0.25">
      <c r="G23" s="15" t="s">
        <v>236</v>
      </c>
      <c r="H23">
        <f>COUNTA(_xlfn.UNIQUE(AggregatedCsv_Source[guidelineId]))</f>
        <v>6</v>
      </c>
    </row>
    <row r="24" spans="1:15" x14ac:dyDescent="0.25">
      <c r="G24" s="15" t="s">
        <v>237</v>
      </c>
      <c r="H24">
        <f>COUNTA(_xlfn.UNIQUE(AggregatedCsv_Source[principle]))</f>
        <v>4</v>
      </c>
    </row>
    <row r="25" spans="1:15" x14ac:dyDescent="0.25">
      <c r="G25" s="15" t="s">
        <v>0</v>
      </c>
      <c r="H25">
        <f>SUM(AggregatedCsv_Source[occurrences])</f>
        <v>171</v>
      </c>
    </row>
    <row r="27" spans="1:15" ht="18.75" x14ac:dyDescent="0.3">
      <c r="G27" s="17" t="s">
        <v>255</v>
      </c>
    </row>
    <row r="28" spans="1:15" x14ac:dyDescent="0.25">
      <c r="G28" s="15" t="s">
        <v>259</v>
      </c>
    </row>
    <row r="29" spans="1:15" x14ac:dyDescent="0.25">
      <c r="G29" s="15" t="s">
        <v>1</v>
      </c>
      <c r="H29" s="15" t="s">
        <v>256</v>
      </c>
      <c r="I29" s="15" t="s">
        <v>257</v>
      </c>
      <c r="J29" s="15" t="s">
        <v>258</v>
      </c>
      <c r="K29" s="15" t="s">
        <v>207</v>
      </c>
      <c r="L29" s="15" t="s">
        <v>212</v>
      </c>
      <c r="M29" s="15" t="s">
        <v>231</v>
      </c>
    </row>
    <row r="30" spans="1:15" x14ac:dyDescent="0.25">
      <c r="G30" t="str" cm="1">
        <f t="array" ref="G30:M34">_xlfn.TAKE(_xlfn._xlws.SORT(AggregatedCsv_Source[[principle]:[Level]],4,-1),5)</f>
        <v>Understandable</v>
      </c>
      <c r="H30" t="str">
        <v>3.1</v>
      </c>
      <c r="I30" t="str">
        <v>3.1.1</v>
      </c>
      <c r="J30">
        <v>100</v>
      </c>
      <c r="K30" t="str">
        <v>3.1.1 - Language of page - 9.3.1.1</v>
      </c>
      <c r="L30" t="str">
        <v>3.1 - Readable</v>
      </c>
      <c r="M30" t="str">
        <v>A</v>
      </c>
    </row>
    <row r="31" spans="1:15" x14ac:dyDescent="0.25">
      <c r="G31" t="str">
        <v>Perceivable</v>
      </c>
      <c r="H31" t="str">
        <v>1.4</v>
      </c>
      <c r="I31" t="str">
        <v>1.4.3</v>
      </c>
      <c r="J31">
        <v>42</v>
      </c>
      <c r="K31" t="str">
        <v>1.4.3 - Contrast (minimum) - 9.1.4.3</v>
      </c>
      <c r="L31" t="str">
        <v>1.4 - Distinguishable</v>
      </c>
      <c r="M31" t="str">
        <v>AA</v>
      </c>
    </row>
    <row r="32" spans="1:15" x14ac:dyDescent="0.25">
      <c r="G32" t="str">
        <v>Robust</v>
      </c>
      <c r="H32" t="str">
        <v>4.1</v>
      </c>
      <c r="I32" t="str">
        <v>4.1.2</v>
      </c>
      <c r="J32">
        <v>11</v>
      </c>
      <c r="K32" t="str">
        <v>4.1.2 - Name, role, value - 9.4.1.2</v>
      </c>
      <c r="L32" t="str">
        <v>4.1 - Compatible</v>
      </c>
      <c r="M32" t="str">
        <v>A</v>
      </c>
    </row>
    <row r="33" spans="7:13" x14ac:dyDescent="0.25">
      <c r="G33" t="str">
        <v>Perceivable</v>
      </c>
      <c r="H33" t="str">
        <v>1.4</v>
      </c>
      <c r="I33" t="str">
        <v>1.4.1</v>
      </c>
      <c r="J33">
        <v>7</v>
      </c>
      <c r="K33" t="str">
        <v>1.4.1 - Use of colour - 9.1.4.1</v>
      </c>
      <c r="L33" t="str">
        <v>1.4 - Distinguishable</v>
      </c>
      <c r="M33" t="str">
        <v>A</v>
      </c>
    </row>
    <row r="34" spans="7:13" x14ac:dyDescent="0.25">
      <c r="G34" t="str">
        <v>Perceivable</v>
      </c>
      <c r="H34" t="str">
        <v>1.1</v>
      </c>
      <c r="I34" t="str">
        <v>1.1.1</v>
      </c>
      <c r="J34">
        <v>7</v>
      </c>
      <c r="K34" t="str">
        <v>1.1.1 - Non-text content - 9.1.1.1</v>
      </c>
      <c r="L34" t="str">
        <v>1.1 - Text Alternatives</v>
      </c>
      <c r="M34" t="str">
        <v>A</v>
      </c>
    </row>
    <row r="36" spans="7:13" x14ac:dyDescent="0.25">
      <c r="G36" s="15" t="s">
        <v>278</v>
      </c>
    </row>
    <row r="37" spans="7:13" x14ac:dyDescent="0.25">
      <c r="G37" s="15" t="s">
        <v>268</v>
      </c>
      <c r="H37" s="15" t="s">
        <v>212</v>
      </c>
      <c r="I37" s="15" t="s">
        <v>258</v>
      </c>
    </row>
    <row r="38" spans="7:13" x14ac:dyDescent="0.25">
      <c r="G38" t="str" cm="1">
        <f t="array" ref="G38:I42">_xlfn.TAKE(_xlfn._xlws.SORT(K6:M18,3,-1),5)</f>
        <v>3.1</v>
      </c>
      <c r="H38" t="str">
        <v>3.1 - Readable</v>
      </c>
      <c r="I38">
        <v>100</v>
      </c>
    </row>
    <row r="39" spans="7:13" x14ac:dyDescent="0.25">
      <c r="G39" t="str">
        <v>1.4</v>
      </c>
      <c r="H39" t="str">
        <v>1.4 - Distinguishable</v>
      </c>
      <c r="I39">
        <v>49</v>
      </c>
    </row>
    <row r="40" spans="7:13" x14ac:dyDescent="0.25">
      <c r="G40" t="str">
        <v>4.1</v>
      </c>
      <c r="H40" t="str">
        <v>4.1 - Compatible</v>
      </c>
      <c r="I40">
        <v>11</v>
      </c>
    </row>
    <row r="41" spans="7:13" x14ac:dyDescent="0.25">
      <c r="G41" t="str">
        <v>1.1</v>
      </c>
      <c r="H41" t="str">
        <v>1.1 - Text Alternatives</v>
      </c>
      <c r="I41">
        <v>7</v>
      </c>
    </row>
    <row r="42" spans="7:13" x14ac:dyDescent="0.25">
      <c r="G42" t="str">
        <v>2.1</v>
      </c>
      <c r="H42" t="str">
        <v>2.1 - Keyboard Accessible</v>
      </c>
      <c r="I42">
        <v>3</v>
      </c>
    </row>
  </sheetData>
  <sheetProtection sheet="1" objects="1" scenarios="1" pivotTables="0"/>
  <conditionalFormatting sqref="H21">
    <cfRule type="cellIs" dxfId="17" priority="1" operator="equal">
      <formula>"⚠ No data loaded"</formula>
    </cfRule>
    <cfRule type="cellIs" dxfId="16" priority="2" operator="equal">
      <formula>"✓ Data loaded"</formula>
    </cfRule>
  </conditionalFormatting>
  <pageMargins left="0.75" right="0.75" top="1" bottom="1" header="0.5" footer="0.5"/>
  <drawing r:id="rId3"/>
  <legacyDrawing r:id="rId4"/>
  <mc:AlternateContent xmlns:mc="http://schemas.openxmlformats.org/markup-compatibility/2006">
    <mc:Choice Requires="x14">
      <controls>
        <mc:AlternateContent xmlns:mc="http://schemas.openxmlformats.org/markup-compatibility/2006">
          <mc:Choice Requires="x14">
            <control shapeId="2050" r:id="rId5" name="Button 2">
              <controlPr defaultSize="0" print="0" autoFill="0" autoPict="0" macro="[0]!ThisWorkbook.RefreshAllData">
                <anchor moveWithCells="1" sizeWithCells="1">
                  <from>
                    <xdr:col>1</xdr:col>
                    <xdr:colOff>9525</xdr:colOff>
                    <xdr:row>1</xdr:row>
                    <xdr:rowOff>38100</xdr:rowOff>
                  </from>
                  <to>
                    <xdr:col>1</xdr:col>
                    <xdr:colOff>1095375</xdr:colOff>
                    <xdr:row>2</xdr:row>
                    <xdr:rowOff>38100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39C598-2A09-499A-A236-EB5684A2215E}">
  <sheetPr codeName="Sheet4"/>
  <dimension ref="A1:G8"/>
  <sheetViews>
    <sheetView workbookViewId="0">
      <selection sqref="A1:G8"/>
    </sheetView>
  </sheetViews>
  <sheetFormatPr defaultRowHeight="15" x14ac:dyDescent="0.25"/>
  <cols>
    <col min="1" max="1" width="15.28515625" bestFit="1" customWidth="1"/>
    <col min="2" max="2" width="13.42578125" bestFit="1" customWidth="1"/>
    <col min="3" max="3" width="12.5703125" bestFit="1" customWidth="1"/>
    <col min="4" max="4" width="13.85546875" bestFit="1" customWidth="1"/>
    <col min="5" max="5" width="36.85546875" bestFit="1" customWidth="1"/>
    <col min="6" max="6" width="23.7109375" bestFit="1" customWidth="1"/>
    <col min="7" max="7" width="8" bestFit="1" customWidth="1"/>
  </cols>
  <sheetData>
    <row r="1" spans="1:7" x14ac:dyDescent="0.25">
      <c r="A1" t="s">
        <v>3</v>
      </c>
      <c r="B1" t="s">
        <v>4</v>
      </c>
      <c r="C1" t="s">
        <v>5</v>
      </c>
      <c r="D1" t="s">
        <v>6</v>
      </c>
      <c r="E1" t="s">
        <v>207</v>
      </c>
      <c r="F1" t="s">
        <v>212</v>
      </c>
      <c r="G1" t="s">
        <v>231</v>
      </c>
    </row>
    <row r="2" spans="1:7" x14ac:dyDescent="0.25">
      <c r="A2" t="s">
        <v>18</v>
      </c>
      <c r="B2" t="s">
        <v>225</v>
      </c>
      <c r="C2" t="s">
        <v>162</v>
      </c>
      <c r="D2">
        <v>100</v>
      </c>
      <c r="E2" t="str">
        <f>AggregatedCsv_Source[[#This Row],[criterionId]] &amp; " - "  &amp; INDEX(Standard[Περιγραφή Ρήτρας],MATCH(AggregatedCsv_Source[[#This Row],[criterionId]],Standard[Κριτήριο WCAG],0)) &amp; " - "  &amp; INDEX(Standard[Ρήτρα Ευρωπαϊκού Πρότυπου],MATCH(AggregatedCsv_Source[[#This Row],[criterionId]],Standard[Κριτήριο WCAG],0))</f>
        <v>3.1.1 - Language of page - 9.3.1.1</v>
      </c>
      <c r="F2" t="str">
        <f>AggregatedCsv_Source[[#This Row],[guidelineId]] &amp; " - "  &amp; INDEX(Standard[Guideline],MATCH(AggregatedCsv_Source[[#This Row],[criterionId]],Standard[Κριτήριο WCAG],0))</f>
        <v>3.1 - Readable</v>
      </c>
      <c r="G2" t="str">
        <f>INDEX(Standard[Επίπεδο Συμμόρφωσης],MATCH(AggregatedCsv_Source[[#This Row],[criterionId]],Standard[Κριτήριο WCAG],0))</f>
        <v>A</v>
      </c>
    </row>
    <row r="3" spans="1:7" x14ac:dyDescent="0.25">
      <c r="A3" t="s">
        <v>7</v>
      </c>
      <c r="B3" t="s">
        <v>8</v>
      </c>
      <c r="C3" t="s">
        <v>9</v>
      </c>
      <c r="D3">
        <v>11</v>
      </c>
      <c r="E3" t="str">
        <f>AggregatedCsv_Source[[#This Row],[criterionId]] &amp; " - "  &amp; INDEX(Standard[Περιγραφή Ρήτρας],MATCH(AggregatedCsv_Source[[#This Row],[criterionId]],Standard[Κριτήριο WCAG],0)) &amp; " - "  &amp; INDEX(Standard[Ρήτρα Ευρωπαϊκού Πρότυπου],MATCH(AggregatedCsv_Source[[#This Row],[criterionId]],Standard[Κριτήριο WCAG],0))</f>
        <v>4.1.2 - Name, role, value - 9.4.1.2</v>
      </c>
      <c r="F3" t="str">
        <f>AggregatedCsv_Source[[#This Row],[guidelineId]] &amp; " - "  &amp; INDEX(Standard[Guideline],MATCH(AggregatedCsv_Source[[#This Row],[criterionId]],Standard[Κριτήριο WCAG],0))</f>
        <v>4.1 - Compatible</v>
      </c>
      <c r="G3" t="str">
        <f>INDEX(Standard[Επίπεδο Συμμόρφωσης],MATCH(AggregatedCsv_Source[[#This Row],[criterionId]],Standard[Κριτήριο WCAG],0))</f>
        <v>A</v>
      </c>
    </row>
    <row r="4" spans="1:7" x14ac:dyDescent="0.25">
      <c r="A4" t="s">
        <v>10</v>
      </c>
      <c r="B4" t="s">
        <v>13</v>
      </c>
      <c r="C4" t="s">
        <v>78</v>
      </c>
      <c r="D4">
        <v>42</v>
      </c>
      <c r="E4" t="str">
        <f>AggregatedCsv_Source[[#This Row],[criterionId]] &amp; " - "  &amp; INDEX(Standard[Περιγραφή Ρήτρας],MATCH(AggregatedCsv_Source[[#This Row],[criterionId]],Standard[Κριτήριο WCAG],0)) &amp; " - "  &amp; INDEX(Standard[Ρήτρα Ευρωπαϊκού Πρότυπου],MATCH(AggregatedCsv_Source[[#This Row],[criterionId]],Standard[Κριτήριο WCAG],0))</f>
        <v>1.4.3 - Contrast (minimum) - 9.1.4.3</v>
      </c>
      <c r="F4" t="str">
        <f>AggregatedCsv_Source[[#This Row],[guidelineId]] &amp; " - "  &amp; INDEX(Standard[Guideline],MATCH(AggregatedCsv_Source[[#This Row],[criterionId]],Standard[Κριτήριο WCAG],0))</f>
        <v>1.4 - Distinguishable</v>
      </c>
      <c r="G4" t="str">
        <f>INDEX(Standard[Επίπεδο Συμμόρφωσης],MATCH(AggregatedCsv_Source[[#This Row],[criterionId]],Standard[Κριτήριο WCAG],0))</f>
        <v>AA</v>
      </c>
    </row>
    <row r="5" spans="1:7" x14ac:dyDescent="0.25">
      <c r="A5" t="s">
        <v>10</v>
      </c>
      <c r="B5" t="s">
        <v>13</v>
      </c>
      <c r="C5" t="s">
        <v>14</v>
      </c>
      <c r="D5">
        <v>7</v>
      </c>
      <c r="E5" t="str">
        <f>AggregatedCsv_Source[[#This Row],[criterionId]] &amp; " - "  &amp; INDEX(Standard[Περιγραφή Ρήτρας],MATCH(AggregatedCsv_Source[[#This Row],[criterionId]],Standard[Κριτήριο WCAG],0)) &amp; " - "  &amp; INDEX(Standard[Ρήτρα Ευρωπαϊκού Πρότυπου],MATCH(AggregatedCsv_Source[[#This Row],[criterionId]],Standard[Κριτήριο WCAG],0))</f>
        <v>1.4.1 - Use of colour - 9.1.4.1</v>
      </c>
      <c r="F5" t="str">
        <f>AggregatedCsv_Source[[#This Row],[guidelineId]] &amp; " - "  &amp; INDEX(Standard[Guideline],MATCH(AggregatedCsv_Source[[#This Row],[criterionId]],Standard[Κριτήριο WCAG],0))</f>
        <v>1.4 - Distinguishable</v>
      </c>
      <c r="G5" t="str">
        <f>INDEX(Standard[Επίπεδο Συμμόρφωσης],MATCH(AggregatedCsv_Source[[#This Row],[criterionId]],Standard[Κριτήριο WCAG],0))</f>
        <v>A</v>
      </c>
    </row>
    <row r="6" spans="1:7" x14ac:dyDescent="0.25">
      <c r="A6" t="s">
        <v>10</v>
      </c>
      <c r="B6" t="s">
        <v>11</v>
      </c>
      <c r="C6" t="s">
        <v>12</v>
      </c>
      <c r="D6">
        <v>7</v>
      </c>
      <c r="E6" t="str">
        <f>AggregatedCsv_Source[[#This Row],[criterionId]] &amp; " - "  &amp; INDEX(Standard[Περιγραφή Ρήτρας],MATCH(AggregatedCsv_Source[[#This Row],[criterionId]],Standard[Κριτήριο WCAG],0)) &amp; " - "  &amp; INDEX(Standard[Ρήτρα Ευρωπαϊκού Πρότυπου],MATCH(AggregatedCsv_Source[[#This Row],[criterionId]],Standard[Κριτήριο WCAG],0))</f>
        <v>1.1.1 - Non-text content - 9.1.1.1</v>
      </c>
      <c r="F6" t="str">
        <f>AggregatedCsv_Source[[#This Row],[guidelineId]] &amp; " - "  &amp; INDEX(Standard[Guideline],MATCH(AggregatedCsv_Source[[#This Row],[criterionId]],Standard[Κριτήριο WCAG],0))</f>
        <v>1.1 - Text Alternatives</v>
      </c>
      <c r="G6" t="str">
        <f>INDEX(Standard[Επίπεδο Συμμόρφωσης],MATCH(AggregatedCsv_Source[[#This Row],[criterionId]],Standard[Κριτήριο WCAG],0))</f>
        <v>A</v>
      </c>
    </row>
    <row r="7" spans="1:7" x14ac:dyDescent="0.25">
      <c r="A7" t="s">
        <v>15</v>
      </c>
      <c r="B7" t="s">
        <v>226</v>
      </c>
      <c r="C7" t="s">
        <v>101</v>
      </c>
      <c r="D7">
        <v>3</v>
      </c>
      <c r="E7" t="str">
        <f>AggregatedCsv_Source[[#This Row],[criterionId]] &amp; " - "  &amp; INDEX(Standard[Περιγραφή Ρήτρας],MATCH(AggregatedCsv_Source[[#This Row],[criterionId]],Standard[Κριτήριο WCAG],0)) &amp; " - "  &amp; INDEX(Standard[Ρήτρα Ευρωπαϊκού Πρότυπου],MATCH(AggregatedCsv_Source[[#This Row],[criterionId]],Standard[Κριτήριο WCAG],0))</f>
        <v>2.1.1 - Keyboard - 9.2.1.1</v>
      </c>
      <c r="F7" t="str">
        <f>AggregatedCsv_Source[[#This Row],[guidelineId]] &amp; " - "  &amp; INDEX(Standard[Guideline],MATCH(AggregatedCsv_Source[[#This Row],[criterionId]],Standard[Κριτήριο WCAG],0))</f>
        <v>2.1 - Keyboard Accessible</v>
      </c>
      <c r="G7" t="str">
        <f>INDEX(Standard[Επίπεδο Συμμόρφωσης],MATCH(AggregatedCsv_Source[[#This Row],[criterionId]],Standard[Κριτήριο WCAG],0))</f>
        <v>A</v>
      </c>
    </row>
    <row r="8" spans="1:7" x14ac:dyDescent="0.25">
      <c r="A8" t="s">
        <v>15</v>
      </c>
      <c r="B8" t="s">
        <v>16</v>
      </c>
      <c r="C8" t="s">
        <v>17</v>
      </c>
      <c r="D8">
        <v>1</v>
      </c>
      <c r="E8" t="str">
        <f>AggregatedCsv_Source[[#This Row],[criterionId]] &amp; " - "  &amp; INDEX(Standard[Περιγραφή Ρήτρας],MATCH(AggregatedCsv_Source[[#This Row],[criterionId]],Standard[Κριτήριο WCAG],0)) &amp; " - "  &amp; INDEX(Standard[Ρήτρα Ευρωπαϊκού Πρότυπου],MATCH(AggregatedCsv_Source[[#This Row],[criterionId]],Standard[Κριτήριο WCAG],0))</f>
        <v>2.4.4 - Link purpose (in context) - 9.2.4.4</v>
      </c>
      <c r="F8" t="str">
        <f>AggregatedCsv_Source[[#This Row],[guidelineId]] &amp; " - "  &amp; INDEX(Standard[Guideline],MATCH(AggregatedCsv_Source[[#This Row],[criterionId]],Standard[Κριτήριο WCAG],0))</f>
        <v>2.4 - Navigable</v>
      </c>
      <c r="G8" t="str">
        <f>INDEX(Standard[Επίπεδο Συμμόρφωσης],MATCH(AggregatedCsv_Source[[#This Row],[criterionId]],Standard[Κριτήριο WCAG],0))</f>
        <v>A</v>
      </c>
    </row>
  </sheetData>
  <dataConsolidate/>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73D374-3560-4763-B4EB-42D5F6345096}">
  <sheetPr codeName="Sheet5"/>
  <dimension ref="A1:G51"/>
  <sheetViews>
    <sheetView topLeftCell="A34" workbookViewId="0">
      <selection activeCell="G45" sqref="G45"/>
    </sheetView>
  </sheetViews>
  <sheetFormatPr defaultRowHeight="15" x14ac:dyDescent="0.25"/>
  <cols>
    <col min="1" max="1" width="35.7109375" style="14" customWidth="1"/>
    <col min="2" max="2" width="18.28515625" style="14" customWidth="1"/>
    <col min="3" max="3" width="15.28515625" style="14" customWidth="1"/>
    <col min="4" max="4" width="15.140625" style="14" customWidth="1"/>
    <col min="5" max="5" width="17.28515625" style="14" customWidth="1"/>
    <col min="6" max="6" width="29.5703125" style="14" customWidth="1"/>
    <col min="7" max="7" width="25" customWidth="1"/>
  </cols>
  <sheetData>
    <row r="1" spans="1:7" ht="47.25" x14ac:dyDescent="0.25">
      <c r="A1" s="12" t="s">
        <v>23</v>
      </c>
      <c r="B1" s="12" t="s">
        <v>24</v>
      </c>
      <c r="C1" s="12" t="s">
        <v>25</v>
      </c>
      <c r="D1" s="12" t="s">
        <v>26</v>
      </c>
      <c r="E1" s="12" t="s">
        <v>27</v>
      </c>
      <c r="F1" s="12" t="s">
        <v>28</v>
      </c>
      <c r="G1" s="12" t="s">
        <v>212</v>
      </c>
    </row>
    <row r="2" spans="1:7" ht="16.5" thickBot="1" x14ac:dyDescent="0.3">
      <c r="A2" s="6" t="s">
        <v>29</v>
      </c>
      <c r="B2" s="7" t="s">
        <v>12</v>
      </c>
      <c r="C2" s="7" t="s">
        <v>30</v>
      </c>
      <c r="D2" s="7" t="s">
        <v>31</v>
      </c>
      <c r="E2" s="7" t="s">
        <v>32</v>
      </c>
      <c r="F2" s="7" t="s">
        <v>33</v>
      </c>
      <c r="G2" s="11" t="s">
        <v>213</v>
      </c>
    </row>
    <row r="3" spans="1:7" ht="32.25" thickBot="1" x14ac:dyDescent="0.3">
      <c r="A3" s="8" t="s">
        <v>34</v>
      </c>
      <c r="B3" s="9" t="s">
        <v>35</v>
      </c>
      <c r="C3" s="9" t="s">
        <v>36</v>
      </c>
      <c r="D3" s="9" t="s">
        <v>31</v>
      </c>
      <c r="E3" s="9" t="s">
        <v>32</v>
      </c>
      <c r="F3" s="9" t="s">
        <v>33</v>
      </c>
      <c r="G3" s="11" t="s">
        <v>214</v>
      </c>
    </row>
    <row r="4" spans="1:7" ht="16.5" thickBot="1" x14ac:dyDescent="0.3">
      <c r="A4" s="6" t="s">
        <v>37</v>
      </c>
      <c r="B4" s="7" t="s">
        <v>38</v>
      </c>
      <c r="C4" s="7" t="s">
        <v>39</v>
      </c>
      <c r="D4" s="7" t="s">
        <v>31</v>
      </c>
      <c r="E4" s="7" t="s">
        <v>32</v>
      </c>
      <c r="F4" s="7" t="s">
        <v>40</v>
      </c>
      <c r="G4" s="11" t="s">
        <v>214</v>
      </c>
    </row>
    <row r="5" spans="1:7" ht="32.25" thickBot="1" x14ac:dyDescent="0.3">
      <c r="A5" s="8" t="s">
        <v>41</v>
      </c>
      <c r="B5" s="9" t="s">
        <v>42</v>
      </c>
      <c r="C5" s="9" t="s">
        <v>43</v>
      </c>
      <c r="D5" s="9" t="s">
        <v>31</v>
      </c>
      <c r="E5" s="9" t="s">
        <v>32</v>
      </c>
      <c r="F5" s="9" t="s">
        <v>44</v>
      </c>
      <c r="G5" s="11" t="s">
        <v>214</v>
      </c>
    </row>
    <row r="6" spans="1:7" ht="16.5" thickBot="1" x14ac:dyDescent="0.3">
      <c r="A6" s="6" t="s">
        <v>45</v>
      </c>
      <c r="B6" s="7" t="s">
        <v>46</v>
      </c>
      <c r="C6" s="7" t="s">
        <v>47</v>
      </c>
      <c r="D6" s="7" t="s">
        <v>48</v>
      </c>
      <c r="E6" s="7" t="s">
        <v>32</v>
      </c>
      <c r="F6" s="7" t="s">
        <v>40</v>
      </c>
      <c r="G6" s="11" t="s">
        <v>214</v>
      </c>
    </row>
    <row r="7" spans="1:7" ht="31.5" x14ac:dyDescent="0.25">
      <c r="A7" s="10" t="s">
        <v>41</v>
      </c>
      <c r="B7" s="13" t="s">
        <v>49</v>
      </c>
      <c r="C7" s="13" t="s">
        <v>50</v>
      </c>
      <c r="D7" s="13" t="s">
        <v>48</v>
      </c>
      <c r="E7" s="13" t="s">
        <v>32</v>
      </c>
      <c r="F7" s="13" t="s">
        <v>51</v>
      </c>
      <c r="G7" s="11" t="s">
        <v>214</v>
      </c>
    </row>
    <row r="8" spans="1:7" ht="16.5" thickBot="1" x14ac:dyDescent="0.3">
      <c r="A8" s="6" t="s">
        <v>52</v>
      </c>
      <c r="B8" s="7" t="s">
        <v>53</v>
      </c>
      <c r="C8" s="7" t="s">
        <v>54</v>
      </c>
      <c r="D8" s="7" t="s">
        <v>31</v>
      </c>
      <c r="E8" s="7" t="s">
        <v>32</v>
      </c>
      <c r="F8" s="7" t="s">
        <v>44</v>
      </c>
      <c r="G8" s="11" t="s">
        <v>215</v>
      </c>
    </row>
    <row r="9" spans="1:7" ht="16.5" thickBot="1" x14ac:dyDescent="0.3">
      <c r="A9" s="8" t="s">
        <v>55</v>
      </c>
      <c r="B9" s="9" t="s">
        <v>56</v>
      </c>
      <c r="C9" s="9" t="s">
        <v>57</v>
      </c>
      <c r="D9" s="9" t="s">
        <v>31</v>
      </c>
      <c r="E9" s="9" t="s">
        <v>32</v>
      </c>
      <c r="F9" s="9" t="s">
        <v>44</v>
      </c>
      <c r="G9" s="11" t="s">
        <v>215</v>
      </c>
    </row>
    <row r="10" spans="1:7" ht="16.5" thickBot="1" x14ac:dyDescent="0.3">
      <c r="A10" s="6" t="s">
        <v>58</v>
      </c>
      <c r="B10" s="7" t="s">
        <v>59</v>
      </c>
      <c r="C10" s="7" t="s">
        <v>60</v>
      </c>
      <c r="D10" s="7" t="s">
        <v>31</v>
      </c>
      <c r="E10" s="7" t="s">
        <v>32</v>
      </c>
      <c r="F10" s="7" t="s">
        <v>61</v>
      </c>
      <c r="G10" s="11" t="s">
        <v>215</v>
      </c>
    </row>
    <row r="11" spans="1:7" ht="16.5" thickBot="1" x14ac:dyDescent="0.3">
      <c r="A11" s="8" t="s">
        <v>62</v>
      </c>
      <c r="B11" s="9" t="s">
        <v>63</v>
      </c>
      <c r="C11" s="9" t="s">
        <v>64</v>
      </c>
      <c r="D11" s="9" t="s">
        <v>48</v>
      </c>
      <c r="E11" s="9" t="s">
        <v>32</v>
      </c>
      <c r="F11" s="9" t="s">
        <v>65</v>
      </c>
      <c r="G11" s="11" t="s">
        <v>215</v>
      </c>
    </row>
    <row r="12" spans="1:7" ht="16.5" thickBot="1" x14ac:dyDescent="0.3">
      <c r="A12" s="6" t="s">
        <v>66</v>
      </c>
      <c r="B12" s="7" t="s">
        <v>67</v>
      </c>
      <c r="C12" s="7" t="s">
        <v>68</v>
      </c>
      <c r="D12" s="7" t="s">
        <v>48</v>
      </c>
      <c r="E12" s="7" t="s">
        <v>32</v>
      </c>
      <c r="F12" s="7" t="s">
        <v>69</v>
      </c>
      <c r="G12" s="11" t="s">
        <v>215</v>
      </c>
    </row>
    <row r="13" spans="1:7" ht="16.5" thickBot="1" x14ac:dyDescent="0.3">
      <c r="A13" s="8" t="s">
        <v>70</v>
      </c>
      <c r="B13" s="9" t="s">
        <v>14</v>
      </c>
      <c r="C13" s="9" t="s">
        <v>71</v>
      </c>
      <c r="D13" s="9" t="s">
        <v>31</v>
      </c>
      <c r="E13" s="9" t="s">
        <v>32</v>
      </c>
      <c r="F13" s="9" t="s">
        <v>72</v>
      </c>
      <c r="G13" s="11" t="s">
        <v>216</v>
      </c>
    </row>
    <row r="14" spans="1:7" ht="16.5" thickBot="1" x14ac:dyDescent="0.3">
      <c r="A14" s="6" t="s">
        <v>73</v>
      </c>
      <c r="B14" s="7" t="s">
        <v>74</v>
      </c>
      <c r="C14" s="7" t="s">
        <v>75</v>
      </c>
      <c r="D14" s="7" t="s">
        <v>31</v>
      </c>
      <c r="E14" s="7" t="s">
        <v>32</v>
      </c>
      <c r="F14" s="7" t="s">
        <v>76</v>
      </c>
      <c r="G14" s="11" t="s">
        <v>216</v>
      </c>
    </row>
    <row r="15" spans="1:7" ht="16.5" thickBot="1" x14ac:dyDescent="0.3">
      <c r="A15" s="8" t="s">
        <v>77</v>
      </c>
      <c r="B15" s="9" t="s">
        <v>78</v>
      </c>
      <c r="C15" s="9" t="s">
        <v>79</v>
      </c>
      <c r="D15" s="9" t="s">
        <v>48</v>
      </c>
      <c r="E15" s="9" t="s">
        <v>32</v>
      </c>
      <c r="F15" s="9" t="s">
        <v>80</v>
      </c>
      <c r="G15" s="11" t="s">
        <v>216</v>
      </c>
    </row>
    <row r="16" spans="1:7" ht="16.5" thickBot="1" x14ac:dyDescent="0.3">
      <c r="A16" s="6" t="s">
        <v>81</v>
      </c>
      <c r="B16" s="7" t="s">
        <v>82</v>
      </c>
      <c r="C16" s="7" t="s">
        <v>83</v>
      </c>
      <c r="D16" s="7" t="s">
        <v>48</v>
      </c>
      <c r="E16" s="7" t="s">
        <v>32</v>
      </c>
      <c r="F16" s="7" t="s">
        <v>69</v>
      </c>
      <c r="G16" s="11" t="s">
        <v>216</v>
      </c>
    </row>
    <row r="17" spans="1:7" ht="16.5" thickBot="1" x14ac:dyDescent="0.3">
      <c r="A17" s="8" t="s">
        <v>84</v>
      </c>
      <c r="B17" s="9" t="s">
        <v>85</v>
      </c>
      <c r="C17" s="9" t="s">
        <v>86</v>
      </c>
      <c r="D17" s="9" t="s">
        <v>48</v>
      </c>
      <c r="E17" s="9" t="s">
        <v>32</v>
      </c>
      <c r="F17" s="9" t="s">
        <v>80</v>
      </c>
      <c r="G17" s="11" t="s">
        <v>216</v>
      </c>
    </row>
    <row r="18" spans="1:7" ht="16.5" thickBot="1" x14ac:dyDescent="0.3">
      <c r="A18" s="6" t="s">
        <v>87</v>
      </c>
      <c r="B18" s="7" t="s">
        <v>88</v>
      </c>
      <c r="C18" s="7" t="s">
        <v>89</v>
      </c>
      <c r="D18" s="7" t="s">
        <v>48</v>
      </c>
      <c r="E18" s="7" t="s">
        <v>32</v>
      </c>
      <c r="F18" s="7" t="s">
        <v>69</v>
      </c>
      <c r="G18" s="11" t="s">
        <v>216</v>
      </c>
    </row>
    <row r="19" spans="1:7" ht="16.5" thickBot="1" x14ac:dyDescent="0.3">
      <c r="A19" s="8" t="s">
        <v>90</v>
      </c>
      <c r="B19" s="9" t="s">
        <v>91</v>
      </c>
      <c r="C19" s="9" t="s">
        <v>92</v>
      </c>
      <c r="D19" s="9" t="s">
        <v>48</v>
      </c>
      <c r="E19" s="9" t="s">
        <v>32</v>
      </c>
      <c r="F19" s="9" t="s">
        <v>80</v>
      </c>
      <c r="G19" s="11" t="s">
        <v>216</v>
      </c>
    </row>
    <row r="20" spans="1:7" ht="16.5" thickBot="1" x14ac:dyDescent="0.3">
      <c r="A20" s="6" t="s">
        <v>93</v>
      </c>
      <c r="B20" s="7" t="s">
        <v>94</v>
      </c>
      <c r="C20" s="7" t="s">
        <v>95</v>
      </c>
      <c r="D20" s="7" t="s">
        <v>48</v>
      </c>
      <c r="E20" s="7" t="s">
        <v>32</v>
      </c>
      <c r="F20" s="7" t="s">
        <v>96</v>
      </c>
      <c r="G20" s="11" t="s">
        <v>216</v>
      </c>
    </row>
    <row r="21" spans="1:7" ht="16.5" thickBot="1" x14ac:dyDescent="0.3">
      <c r="A21" s="8" t="s">
        <v>97</v>
      </c>
      <c r="B21" s="9" t="s">
        <v>98</v>
      </c>
      <c r="C21" s="9" t="s">
        <v>99</v>
      </c>
      <c r="D21" s="9" t="s">
        <v>48</v>
      </c>
      <c r="E21" s="9" t="s">
        <v>32</v>
      </c>
      <c r="F21" s="9" t="s">
        <v>96</v>
      </c>
      <c r="G21" s="11" t="s">
        <v>216</v>
      </c>
    </row>
    <row r="22" spans="1:7" ht="16.5" thickBot="1" x14ac:dyDescent="0.3">
      <c r="A22" s="6" t="s">
        <v>100</v>
      </c>
      <c r="B22" s="7" t="s">
        <v>101</v>
      </c>
      <c r="C22" s="7" t="s">
        <v>102</v>
      </c>
      <c r="D22" s="7" t="s">
        <v>31</v>
      </c>
      <c r="E22" s="7" t="s">
        <v>103</v>
      </c>
      <c r="F22" s="7" t="s">
        <v>104</v>
      </c>
      <c r="G22" s="11" t="s">
        <v>272</v>
      </c>
    </row>
    <row r="23" spans="1:7" ht="16.5" thickBot="1" x14ac:dyDescent="0.3">
      <c r="A23" s="8" t="s">
        <v>105</v>
      </c>
      <c r="B23" s="9" t="s">
        <v>106</v>
      </c>
      <c r="C23" s="9" t="s">
        <v>107</v>
      </c>
      <c r="D23" s="9" t="s">
        <v>31</v>
      </c>
      <c r="E23" s="9" t="s">
        <v>103</v>
      </c>
      <c r="F23" s="9" t="s">
        <v>108</v>
      </c>
      <c r="G23" s="11" t="s">
        <v>272</v>
      </c>
    </row>
    <row r="24" spans="1:7" ht="16.5" thickBot="1" x14ac:dyDescent="0.3">
      <c r="A24" s="6" t="s">
        <v>109</v>
      </c>
      <c r="B24" s="7" t="s">
        <v>110</v>
      </c>
      <c r="C24" s="7" t="s">
        <v>111</v>
      </c>
      <c r="D24" s="7" t="s">
        <v>31</v>
      </c>
      <c r="E24" s="7" t="s">
        <v>103</v>
      </c>
      <c r="F24" s="7" t="s">
        <v>65</v>
      </c>
      <c r="G24" s="11" t="s">
        <v>272</v>
      </c>
    </row>
    <row r="25" spans="1:7" ht="16.5" thickBot="1" x14ac:dyDescent="0.3">
      <c r="A25" s="8" t="s">
        <v>112</v>
      </c>
      <c r="B25" s="9" t="s">
        <v>113</v>
      </c>
      <c r="C25" s="9" t="s">
        <v>114</v>
      </c>
      <c r="D25" s="9" t="s">
        <v>31</v>
      </c>
      <c r="E25" s="9" t="s">
        <v>103</v>
      </c>
      <c r="F25" s="9" t="s">
        <v>115</v>
      </c>
      <c r="G25" s="11" t="s">
        <v>217</v>
      </c>
    </row>
    <row r="26" spans="1:7" ht="16.5" thickBot="1" x14ac:dyDescent="0.3">
      <c r="A26" s="6" t="s">
        <v>116</v>
      </c>
      <c r="B26" s="7" t="s">
        <v>117</v>
      </c>
      <c r="C26" s="7" t="s">
        <v>118</v>
      </c>
      <c r="D26" s="7" t="s">
        <v>31</v>
      </c>
      <c r="E26" s="7" t="s">
        <v>103</v>
      </c>
      <c r="F26" s="7" t="s">
        <v>115</v>
      </c>
      <c r="G26" s="11" t="s">
        <v>217</v>
      </c>
    </row>
    <row r="27" spans="1:7" ht="32.25" thickBot="1" x14ac:dyDescent="0.3">
      <c r="A27" s="8" t="s">
        <v>119</v>
      </c>
      <c r="B27" s="9" t="s">
        <v>120</v>
      </c>
      <c r="C27" s="9" t="s">
        <v>121</v>
      </c>
      <c r="D27" s="9" t="s">
        <v>31</v>
      </c>
      <c r="E27" s="9" t="s">
        <v>103</v>
      </c>
      <c r="F27" s="9" t="s">
        <v>122</v>
      </c>
      <c r="G27" s="11" t="s">
        <v>218</v>
      </c>
    </row>
    <row r="28" spans="1:7" ht="16.5" thickBot="1" x14ac:dyDescent="0.3">
      <c r="A28" s="6" t="s">
        <v>123</v>
      </c>
      <c r="B28" s="7" t="s">
        <v>124</v>
      </c>
      <c r="C28" s="7" t="s">
        <v>125</v>
      </c>
      <c r="D28" s="7" t="s">
        <v>31</v>
      </c>
      <c r="E28" s="7" t="s">
        <v>103</v>
      </c>
      <c r="F28" s="7" t="s">
        <v>126</v>
      </c>
      <c r="G28" s="11" t="s">
        <v>219</v>
      </c>
    </row>
    <row r="29" spans="1:7" ht="16.5" thickBot="1" x14ac:dyDescent="0.3">
      <c r="A29" s="8" t="s">
        <v>127</v>
      </c>
      <c r="B29" s="9" t="s">
        <v>128</v>
      </c>
      <c r="C29" s="9" t="s">
        <v>129</v>
      </c>
      <c r="D29" s="9" t="s">
        <v>31</v>
      </c>
      <c r="E29" s="9" t="s">
        <v>103</v>
      </c>
      <c r="F29" s="9" t="s">
        <v>130</v>
      </c>
      <c r="G29" s="11" t="s">
        <v>219</v>
      </c>
    </row>
    <row r="30" spans="1:7" ht="16.5" thickBot="1" x14ac:dyDescent="0.3">
      <c r="A30" s="6" t="s">
        <v>131</v>
      </c>
      <c r="B30" s="7" t="s">
        <v>132</v>
      </c>
      <c r="C30" s="7" t="s">
        <v>133</v>
      </c>
      <c r="D30" s="7" t="s">
        <v>31</v>
      </c>
      <c r="E30" s="7" t="s">
        <v>103</v>
      </c>
      <c r="F30" s="7" t="s">
        <v>130</v>
      </c>
      <c r="G30" s="11" t="s">
        <v>219</v>
      </c>
    </row>
    <row r="31" spans="1:7" ht="16.5" thickBot="1" x14ac:dyDescent="0.3">
      <c r="A31" s="8" t="s">
        <v>134</v>
      </c>
      <c r="B31" s="9" t="s">
        <v>17</v>
      </c>
      <c r="C31" s="9" t="s">
        <v>135</v>
      </c>
      <c r="D31" s="9" t="s">
        <v>31</v>
      </c>
      <c r="E31" s="9" t="s">
        <v>103</v>
      </c>
      <c r="F31" s="9" t="s">
        <v>136</v>
      </c>
      <c r="G31" s="11" t="s">
        <v>219</v>
      </c>
    </row>
    <row r="32" spans="1:7" ht="16.5" thickBot="1" x14ac:dyDescent="0.3">
      <c r="A32" s="6" t="s">
        <v>137</v>
      </c>
      <c r="B32" s="7" t="s">
        <v>138</v>
      </c>
      <c r="C32" s="7" t="s">
        <v>139</v>
      </c>
      <c r="D32" s="7" t="s">
        <v>48</v>
      </c>
      <c r="E32" s="7" t="s">
        <v>103</v>
      </c>
      <c r="F32" s="7" t="s">
        <v>136</v>
      </c>
      <c r="G32" s="11" t="s">
        <v>219</v>
      </c>
    </row>
    <row r="33" spans="1:7" ht="16.5" thickBot="1" x14ac:dyDescent="0.3">
      <c r="A33" s="8" t="s">
        <v>140</v>
      </c>
      <c r="B33" s="9" t="s">
        <v>141</v>
      </c>
      <c r="C33" s="9" t="s">
        <v>142</v>
      </c>
      <c r="D33" s="9" t="s">
        <v>48</v>
      </c>
      <c r="E33" s="9" t="s">
        <v>103</v>
      </c>
      <c r="F33" s="9" t="s">
        <v>143</v>
      </c>
      <c r="G33" s="11" t="s">
        <v>219</v>
      </c>
    </row>
    <row r="34" spans="1:7" ht="16.5" thickBot="1" x14ac:dyDescent="0.3">
      <c r="A34" s="6" t="s">
        <v>144</v>
      </c>
      <c r="B34" s="7" t="s">
        <v>145</v>
      </c>
      <c r="C34" s="7" t="s">
        <v>146</v>
      </c>
      <c r="D34" s="7" t="s">
        <v>48</v>
      </c>
      <c r="E34" s="7" t="s">
        <v>103</v>
      </c>
      <c r="F34" s="7" t="s">
        <v>136</v>
      </c>
      <c r="G34" s="11" t="s">
        <v>219</v>
      </c>
    </row>
    <row r="35" spans="1:7" ht="16.5" thickBot="1" x14ac:dyDescent="0.3">
      <c r="A35" s="8" t="s">
        <v>147</v>
      </c>
      <c r="B35" s="9" t="s">
        <v>148</v>
      </c>
      <c r="C35" s="9" t="s">
        <v>149</v>
      </c>
      <c r="D35" s="9" t="s">
        <v>31</v>
      </c>
      <c r="E35" s="9" t="s">
        <v>103</v>
      </c>
      <c r="F35" s="9" t="s">
        <v>65</v>
      </c>
      <c r="G35" s="11" t="s">
        <v>220</v>
      </c>
    </row>
    <row r="36" spans="1:7" ht="16.5" thickBot="1" x14ac:dyDescent="0.3">
      <c r="A36" s="6" t="s">
        <v>150</v>
      </c>
      <c r="B36" s="7" t="s">
        <v>151</v>
      </c>
      <c r="C36" s="7" t="s">
        <v>152</v>
      </c>
      <c r="D36" s="7" t="s">
        <v>31</v>
      </c>
      <c r="E36" s="7" t="s">
        <v>103</v>
      </c>
      <c r="F36" s="7" t="s">
        <v>153</v>
      </c>
      <c r="G36" s="11" t="s">
        <v>220</v>
      </c>
    </row>
    <row r="37" spans="1:7" ht="16.5" thickBot="1" x14ac:dyDescent="0.3">
      <c r="A37" s="8" t="s">
        <v>154</v>
      </c>
      <c r="B37" s="9" t="s">
        <v>155</v>
      </c>
      <c r="C37" s="9" t="s">
        <v>156</v>
      </c>
      <c r="D37" s="9" t="s">
        <v>31</v>
      </c>
      <c r="E37" s="9" t="s">
        <v>103</v>
      </c>
      <c r="F37" s="9" t="s">
        <v>65</v>
      </c>
      <c r="G37" s="11" t="s">
        <v>220</v>
      </c>
    </row>
    <row r="38" spans="1:7" ht="16.5" thickBot="1" x14ac:dyDescent="0.3">
      <c r="A38" s="6" t="s">
        <v>157</v>
      </c>
      <c r="B38" s="7" t="s">
        <v>158</v>
      </c>
      <c r="C38" s="7" t="s">
        <v>159</v>
      </c>
      <c r="D38" s="7" t="s">
        <v>31</v>
      </c>
      <c r="E38" s="7" t="s">
        <v>103</v>
      </c>
      <c r="F38" s="7" t="s">
        <v>160</v>
      </c>
      <c r="G38" s="11" t="s">
        <v>220</v>
      </c>
    </row>
    <row r="39" spans="1:7" ht="16.5" thickBot="1" x14ac:dyDescent="0.3">
      <c r="A39" s="8" t="s">
        <v>161</v>
      </c>
      <c r="B39" s="9" t="s">
        <v>162</v>
      </c>
      <c r="C39" s="9" t="s">
        <v>163</v>
      </c>
      <c r="D39" s="9" t="s">
        <v>31</v>
      </c>
      <c r="E39" s="9" t="s">
        <v>164</v>
      </c>
      <c r="F39" s="9" t="s">
        <v>33</v>
      </c>
      <c r="G39" s="11" t="s">
        <v>221</v>
      </c>
    </row>
    <row r="40" spans="1:7" ht="16.5" thickBot="1" x14ac:dyDescent="0.3">
      <c r="A40" s="6" t="s">
        <v>165</v>
      </c>
      <c r="B40" s="7" t="s">
        <v>166</v>
      </c>
      <c r="C40" s="7" t="s">
        <v>167</v>
      </c>
      <c r="D40" s="7" t="s">
        <v>48</v>
      </c>
      <c r="E40" s="7" t="s">
        <v>164</v>
      </c>
      <c r="F40" s="7" t="s">
        <v>33</v>
      </c>
      <c r="G40" s="11" t="s">
        <v>221</v>
      </c>
    </row>
    <row r="41" spans="1:7" ht="16.5" thickBot="1" x14ac:dyDescent="0.3">
      <c r="A41" s="8" t="s">
        <v>168</v>
      </c>
      <c r="B41" s="9" t="s">
        <v>169</v>
      </c>
      <c r="C41" s="9" t="s">
        <v>170</v>
      </c>
      <c r="D41" s="9" t="s">
        <v>31</v>
      </c>
      <c r="E41" s="9" t="s">
        <v>164</v>
      </c>
      <c r="F41" s="9" t="s">
        <v>130</v>
      </c>
      <c r="G41" s="11" t="s">
        <v>222</v>
      </c>
    </row>
    <row r="42" spans="1:7" ht="16.5" thickBot="1" x14ac:dyDescent="0.3">
      <c r="A42" s="6" t="s">
        <v>171</v>
      </c>
      <c r="B42" s="7" t="s">
        <v>172</v>
      </c>
      <c r="C42" s="7" t="s">
        <v>173</v>
      </c>
      <c r="D42" s="7" t="s">
        <v>31</v>
      </c>
      <c r="E42" s="7" t="s">
        <v>164</v>
      </c>
      <c r="F42" s="7" t="s">
        <v>130</v>
      </c>
      <c r="G42" s="11" t="s">
        <v>222</v>
      </c>
    </row>
    <row r="43" spans="1:7" ht="16.5" thickBot="1" x14ac:dyDescent="0.3">
      <c r="A43" s="8" t="s">
        <v>174</v>
      </c>
      <c r="B43" s="9" t="s">
        <v>175</v>
      </c>
      <c r="C43" s="9" t="s">
        <v>176</v>
      </c>
      <c r="D43" s="9" t="s">
        <v>48</v>
      </c>
      <c r="E43" s="9" t="s">
        <v>164</v>
      </c>
      <c r="F43" s="9" t="s">
        <v>44</v>
      </c>
      <c r="G43" s="11" t="s">
        <v>222</v>
      </c>
    </row>
    <row r="44" spans="1:7" ht="16.5" thickBot="1" x14ac:dyDescent="0.3">
      <c r="A44" s="6" t="s">
        <v>177</v>
      </c>
      <c r="B44" s="7" t="s">
        <v>178</v>
      </c>
      <c r="C44" s="7" t="s">
        <v>179</v>
      </c>
      <c r="D44" s="7" t="s">
        <v>48</v>
      </c>
      <c r="E44" s="7" t="s">
        <v>164</v>
      </c>
      <c r="F44" s="7" t="s">
        <v>180</v>
      </c>
      <c r="G44" s="11" t="s">
        <v>222</v>
      </c>
    </row>
    <row r="45" spans="1:7" ht="16.5" thickBot="1" x14ac:dyDescent="0.3">
      <c r="A45" s="8" t="s">
        <v>181</v>
      </c>
      <c r="B45" s="9" t="s">
        <v>182</v>
      </c>
      <c r="C45" s="9" t="s">
        <v>183</v>
      </c>
      <c r="D45" s="9" t="s">
        <v>31</v>
      </c>
      <c r="E45" s="9" t="s">
        <v>164</v>
      </c>
      <c r="F45" s="9" t="s">
        <v>72</v>
      </c>
      <c r="G45" s="11" t="s">
        <v>223</v>
      </c>
    </row>
    <row r="46" spans="1:7" ht="16.5" thickBot="1" x14ac:dyDescent="0.3">
      <c r="A46" s="6" t="s">
        <v>184</v>
      </c>
      <c r="B46" s="7" t="s">
        <v>185</v>
      </c>
      <c r="C46" s="7" t="s">
        <v>186</v>
      </c>
      <c r="D46" s="7" t="s">
        <v>31</v>
      </c>
      <c r="E46" s="7" t="s">
        <v>164</v>
      </c>
      <c r="F46" s="7" t="s">
        <v>187</v>
      </c>
      <c r="G46" s="11" t="s">
        <v>223</v>
      </c>
    </row>
    <row r="47" spans="1:7" ht="16.5" thickBot="1" x14ac:dyDescent="0.3">
      <c r="A47" s="8" t="s">
        <v>188</v>
      </c>
      <c r="B47" s="9" t="s">
        <v>189</v>
      </c>
      <c r="C47" s="9" t="s">
        <v>190</v>
      </c>
      <c r="D47" s="9" t="s">
        <v>48</v>
      </c>
      <c r="E47" s="9" t="s">
        <v>164</v>
      </c>
      <c r="F47" s="9" t="s">
        <v>187</v>
      </c>
      <c r="G47" s="11" t="s">
        <v>223</v>
      </c>
    </row>
    <row r="48" spans="1:7" ht="32.25" thickBot="1" x14ac:dyDescent="0.3">
      <c r="A48" s="6" t="s">
        <v>191</v>
      </c>
      <c r="B48" s="7" t="s">
        <v>192</v>
      </c>
      <c r="C48" s="7" t="s">
        <v>193</v>
      </c>
      <c r="D48" s="7" t="s">
        <v>48</v>
      </c>
      <c r="E48" s="7" t="s">
        <v>164</v>
      </c>
      <c r="F48" s="7" t="s">
        <v>194</v>
      </c>
      <c r="G48" s="11" t="s">
        <v>223</v>
      </c>
    </row>
    <row r="49" spans="1:7" ht="16.5" thickBot="1" x14ac:dyDescent="0.3">
      <c r="A49" s="8" t="s">
        <v>195</v>
      </c>
      <c r="B49" s="9" t="s">
        <v>196</v>
      </c>
      <c r="C49" s="9" t="s">
        <v>197</v>
      </c>
      <c r="D49" s="9" t="s">
        <v>31</v>
      </c>
      <c r="E49" s="9" t="s">
        <v>198</v>
      </c>
      <c r="F49" s="9" t="s">
        <v>199</v>
      </c>
      <c r="G49" s="11" t="s">
        <v>224</v>
      </c>
    </row>
    <row r="50" spans="1:7" ht="16.5" thickBot="1" x14ac:dyDescent="0.3">
      <c r="A50" s="6" t="s">
        <v>200</v>
      </c>
      <c r="B50" s="7" t="s">
        <v>9</v>
      </c>
      <c r="C50" s="7" t="s">
        <v>201</v>
      </c>
      <c r="D50" s="7" t="s">
        <v>31</v>
      </c>
      <c r="E50" s="7" t="s">
        <v>198</v>
      </c>
      <c r="F50" s="7" t="s">
        <v>202</v>
      </c>
      <c r="G50" s="11" t="s">
        <v>224</v>
      </c>
    </row>
    <row r="51" spans="1:7" ht="31.5" x14ac:dyDescent="0.25">
      <c r="A51" s="10" t="s">
        <v>203</v>
      </c>
      <c r="B51" s="11" t="s">
        <v>204</v>
      </c>
      <c r="C51" s="11" t="s">
        <v>205</v>
      </c>
      <c r="D51" s="11" t="s">
        <v>48</v>
      </c>
      <c r="E51" s="11" t="s">
        <v>198</v>
      </c>
      <c r="F51" s="11" t="s">
        <v>206</v>
      </c>
      <c r="G51" s="11" t="s">
        <v>224</v>
      </c>
    </row>
  </sheetData>
  <sheetProtection sheet="1" objects="1" scenarios="1"/>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8382BD-D87F-49C5-B234-80B97A324D75}">
  <sheetPr codeName="Sheet6"/>
  <dimension ref="A2:D37"/>
  <sheetViews>
    <sheetView workbookViewId="0">
      <selection sqref="A1:XFD1"/>
    </sheetView>
  </sheetViews>
  <sheetFormatPr defaultRowHeight="15" x14ac:dyDescent="0.25"/>
  <cols>
    <col min="1" max="1" width="25" bestFit="1" customWidth="1"/>
    <col min="2" max="2" width="11.140625" bestFit="1" customWidth="1"/>
    <col min="3" max="3" width="10.28515625" bestFit="1" customWidth="1"/>
    <col min="4" max="4" width="11.5703125" bestFit="1" customWidth="1"/>
  </cols>
  <sheetData>
    <row r="2" spans="1:1" x14ac:dyDescent="0.25">
      <c r="A2" s="15" t="s">
        <v>238</v>
      </c>
    </row>
    <row r="33" spans="1:4" x14ac:dyDescent="0.25">
      <c r="A33" s="15" t="s">
        <v>239</v>
      </c>
    </row>
    <row r="34" spans="1:4" x14ac:dyDescent="0.25">
      <c r="A34" t="s">
        <v>3</v>
      </c>
      <c r="B34" t="s">
        <v>4</v>
      </c>
      <c r="C34" t="s">
        <v>5</v>
      </c>
      <c r="D34" t="s">
        <v>6</v>
      </c>
    </row>
    <row r="35" spans="1:4" x14ac:dyDescent="0.25">
      <c r="A35" t="s">
        <v>18</v>
      </c>
      <c r="B35" t="s">
        <v>225</v>
      </c>
      <c r="C35" t="s">
        <v>162</v>
      </c>
      <c r="D35">
        <v>4</v>
      </c>
    </row>
    <row r="36" spans="1:4" x14ac:dyDescent="0.25">
      <c r="A36" t="s">
        <v>7</v>
      </c>
      <c r="B36" t="s">
        <v>8</v>
      </c>
      <c r="C36" t="s">
        <v>9</v>
      </c>
      <c r="D36">
        <v>11</v>
      </c>
    </row>
    <row r="37" spans="1:4" x14ac:dyDescent="0.25">
      <c r="A37" t="s">
        <v>10</v>
      </c>
      <c r="B37" t="s">
        <v>13</v>
      </c>
      <c r="C37" t="s">
        <v>78</v>
      </c>
      <c r="D37">
        <v>49</v>
      </c>
    </row>
  </sheetData>
  <sheetProtection sheet="1" objects="1" scenarios="1"/>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BB8C2DB-F872-411C-B3FC-E0790E8C9420}">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vt:i4>
      </vt:variant>
    </vt:vector>
  </HeadingPairs>
  <TitlesOfParts>
    <vt:vector size="6" baseType="lpstr">
      <vt:lpstr>Dashboard</vt:lpstr>
      <vt:lpstr>Analysis</vt:lpstr>
      <vt:lpstr>Raw</vt:lpstr>
      <vt:lpstr>Standard</vt:lpstr>
      <vt:lpstr>Instructions</vt:lpstr>
      <vt:lpstr>Dashboard!Print_Area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Constantinos Evangelou</cp:lastModifiedBy>
  <cp:lastPrinted>2026-02-04T16:45:35Z</cp:lastPrinted>
  <dcterms:created xsi:type="dcterms:W3CDTF">2026-01-19T17:15:18Z</dcterms:created>
  <dcterms:modified xsi:type="dcterms:W3CDTF">2026-02-04T17:28:53Z</dcterms:modified>
</cp:coreProperties>
</file>