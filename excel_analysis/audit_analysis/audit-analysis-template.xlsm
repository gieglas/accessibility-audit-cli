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constantinos\Documents\code\DSF\ce-accessibility-audit-cli\excel_analysis\audit_analysis\"/>
    </mc:Choice>
  </mc:AlternateContent>
  <xr:revisionPtr revIDLastSave="0" documentId="13_ncr:1_{17D924B5-DE2B-4C76-A503-BAC415D60B73}" xr6:coauthVersionLast="47" xr6:coauthVersionMax="47" xr10:uidLastSave="{00000000-0000-0000-0000-000000000000}"/>
  <bookViews>
    <workbookView xWindow="-19310" yWindow="-110" windowWidth="19420" windowHeight="11500" xr2:uid="{5F1C8255-0EC5-47E7-B598-4A141337AF58}"/>
  </bookViews>
  <sheets>
    <sheet name="Dashboard" sheetId="9" r:id="rId1"/>
    <sheet name="Findings" sheetId="15" r:id="rId2"/>
    <sheet name="Analysis" sheetId="1" r:id="rId3"/>
    <sheet name="Compliance-pivot-analysis" sheetId="10" r:id="rId4"/>
    <sheet name="Non-compliance-pivot-analysis" sheetId="11" r:id="rId5"/>
    <sheet name="Non-compliance" sheetId="5" r:id="rId6"/>
    <sheet name="Compliance" sheetId="2" r:id="rId7"/>
    <sheet name="rawFindings" sheetId="8" r:id="rId8"/>
    <sheet name="Standard" sheetId="3" r:id="rId9"/>
  </sheets>
  <definedNames>
    <definedName name="_xlchart.v2.0" hidden="1">Analysis!$L$23:$L$25</definedName>
    <definedName name="_xlchart.v2.1" hidden="1">Analysis!$M$22</definedName>
    <definedName name="_xlchart.v2.2" hidden="1">Analysis!$M$23:$M$25</definedName>
    <definedName name="_xlchart.v2.3" hidden="1">Analysis!$L$6:$L$8</definedName>
    <definedName name="_xlchart.v2.4" hidden="1">Analysis!$M$5</definedName>
    <definedName name="_xlchart.v2.5" hidden="1">Analysis!$M$6:$M$8</definedName>
    <definedName name="_xlcn.WorksheetConnection_Book1.xlsxcompliance1" hidden="1">compliance[]</definedName>
    <definedName name="_xleta.DROP" hidden="1" xlm="1">#NAME?</definedName>
    <definedName name="_xleta.SUM" hidden="1" xlm="1">#NAME?</definedName>
    <definedName name="_xlpm.acc" hidden="1" xlm="1">#NAME?</definedName>
    <definedName name="_xlpm.cols" hidden="1" xlm="1">#NAME?</definedName>
    <definedName name="_xlpm.data" hidden="1" xlm="1">#NAME?</definedName>
    <definedName name="_xlpm.headers" hidden="1" xlm="1">#NAME?</definedName>
    <definedName name="_xlpm.r" hidden="1" xlm="1">#NAME?</definedName>
    <definedName name="ExternalData_1" localSheetId="6" hidden="1">'Compliance'!$A$1:$I$16</definedName>
    <definedName name="ExternalData_1" localSheetId="5" hidden="1">'Non-compliance'!$A$1:$H$10</definedName>
    <definedName name="ExternalData_1" localSheetId="7" hidden="1">'rawFindings'!$A$1:$M$59</definedName>
    <definedName name="_xlnm.Print_Area" localSheetId="0">Dashboard!$A$1:$R$183</definedName>
    <definedName name="_xlnm.Print_Area" localSheetId="1">Findings!$A:$H</definedName>
    <definedName name="_xlnm.Print_Titles" localSheetId="1">Findings!$1:$1</definedName>
    <definedName name="Slicer_Criterion___name___EU">#N/A</definedName>
    <definedName name="Slicer_Guideline">#N/A</definedName>
    <definedName name="Slicer_pageId">#N/A</definedName>
    <definedName name="Slicer_pageId1">#N/A</definedName>
    <definedName name="Slicer_Principle">#N/A</definedName>
    <definedName name="Slicer_ruleId">#N/A</definedName>
    <definedName name="Slicer_severity">#N/A</definedName>
  </definedNames>
  <calcPr calcId="191029"/>
  <pivotCaches>
    <pivotCache cacheId="90" r:id="rId10"/>
    <pivotCache cacheId="93" r:id="rId11"/>
    <pivotCache cacheId="96" r:id="rId12"/>
    <pivotCache cacheId="99" r:id="rId13"/>
    <pivotCache cacheId="102" r:id="rId14"/>
    <pivotCache cacheId="108" r:id="rId15"/>
  </pivotCaches>
  <extLst>
    <ext xmlns:x14="http://schemas.microsoft.com/office/spreadsheetml/2009/9/main" uri="{876F7934-8845-4945-9796-88D515C7AA90}">
      <x14:pivotCaches>
        <pivotCache cacheId="89" r:id="rId16"/>
      </x14:pivotCaches>
    </ex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pliance" name="compliance" connection="WorksheetConnection_Book1.xlsx!complianc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2" l="1"/>
  <c r="J3" i="2"/>
  <c r="J4" i="2"/>
  <c r="J5" i="2"/>
  <c r="J6" i="2"/>
  <c r="J7" i="2"/>
  <c r="J8" i="2"/>
  <c r="J9" i="2"/>
  <c r="J10" i="2"/>
  <c r="J11" i="2"/>
  <c r="J12" i="2"/>
  <c r="J13" i="2"/>
  <c r="J14" i="2"/>
  <c r="J15" i="2"/>
  <c r="J16" i="2"/>
  <c r="K2" i="2"/>
  <c r="K3" i="2"/>
  <c r="K4" i="2"/>
  <c r="K5" i="2"/>
  <c r="K6" i="2"/>
  <c r="K7" i="2"/>
  <c r="K8" i="2"/>
  <c r="K9" i="2"/>
  <c r="K10" i="2"/>
  <c r="K11" i="2"/>
  <c r="K12" i="2"/>
  <c r="K13" i="2"/>
  <c r="K14" i="2"/>
  <c r="K15" i="2"/>
  <c r="K16" i="2"/>
  <c r="L2" i="2"/>
  <c r="L3" i="2"/>
  <c r="L4" i="2"/>
  <c r="L5" i="2"/>
  <c r="L6" i="2"/>
  <c r="L7" i="2"/>
  <c r="L8" i="2"/>
  <c r="L9" i="2"/>
  <c r="L10" i="2"/>
  <c r="L11" i="2"/>
  <c r="L12" i="2"/>
  <c r="L13" i="2"/>
  <c r="L14" i="2"/>
  <c r="L15" i="2"/>
  <c r="L16" i="2"/>
  <c r="M2" i="2"/>
  <c r="M3" i="2"/>
  <c r="M4" i="2"/>
  <c r="M5" i="2"/>
  <c r="M6" i="2"/>
  <c r="M7" i="2"/>
  <c r="M8" i="2"/>
  <c r="M9" i="2"/>
  <c r="M10" i="2"/>
  <c r="M11" i="2"/>
  <c r="M12" i="2"/>
  <c r="M13" i="2"/>
  <c r="M14" i="2"/>
  <c r="M15" i="2"/>
  <c r="M16" i="2"/>
  <c r="N2" i="2"/>
  <c r="N3" i="2"/>
  <c r="N4" i="2"/>
  <c r="N5" i="2"/>
  <c r="N6" i="2"/>
  <c r="N7" i="2"/>
  <c r="N8" i="2"/>
  <c r="N9" i="2"/>
  <c r="N10" i="2"/>
  <c r="N11" i="2"/>
  <c r="N12" i="2"/>
  <c r="N13" i="2"/>
  <c r="N14" i="2"/>
  <c r="N15" i="2"/>
  <c r="N16" i="2"/>
  <c r="C30" i="1" a="1"/>
  <c r="C30" i="1" s="1"/>
  <c r="B104" i="9" s="1"/>
  <c r="C29" i="1" a="1"/>
  <c r="C29" i="1" s="1"/>
  <c r="F104" i="9" s="1"/>
  <c r="C25" i="1" a="1"/>
  <c r="C25" i="1" s="1"/>
  <c r="B11" i="9" s="1"/>
  <c r="C22" i="1" a="1"/>
  <c r="C22" i="1" s="1"/>
  <c r="F11" i="9" s="1"/>
  <c r="A2" i="15" a="1"/>
  <c r="A2" i="15" s="1"/>
  <c r="C40" i="1"/>
  <c r="C39" i="1"/>
  <c r="C38" i="1"/>
  <c r="C37" i="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I53" i="1" s="1"/>
  <c r="H52" i="1"/>
  <c r="I52" i="1" s="1"/>
  <c r="H51" i="1"/>
  <c r="I51" i="1" s="1"/>
  <c r="H50" i="1"/>
  <c r="I50" i="1" s="1"/>
  <c r="H49" i="1"/>
  <c r="I49" i="1" s="1"/>
  <c r="H48" i="1"/>
  <c r="I48" i="1" s="1"/>
  <c r="H47" i="1"/>
  <c r="I47" i="1" s="1"/>
  <c r="H46" i="1"/>
  <c r="I46" i="1" s="1"/>
  <c r="H45" i="1"/>
  <c r="I45" i="1" s="1"/>
  <c r="H44" i="1"/>
  <c r="I44" i="1" s="1"/>
  <c r="H43" i="1"/>
  <c r="I43" i="1" s="1"/>
  <c r="H42" i="1"/>
  <c r="I42" i="1" s="1"/>
  <c r="H41" i="1"/>
  <c r="I41" i="1" s="1"/>
  <c r="H40" i="1"/>
  <c r="I40" i="1" s="1"/>
  <c r="H39" i="1"/>
  <c r="I39" i="1" s="1"/>
  <c r="H38" i="1"/>
  <c r="I38" i="1" s="1"/>
  <c r="H37" i="1"/>
  <c r="I37" i="1" s="1"/>
  <c r="H36" i="1"/>
  <c r="I36" i="1" s="1"/>
  <c r="H35" i="1"/>
  <c r="I35" i="1" s="1"/>
  <c r="H34" i="1"/>
  <c r="I34" i="1" s="1"/>
  <c r="H33" i="1"/>
  <c r="I33" i="1" s="1"/>
  <c r="H32" i="1"/>
  <c r="I32" i="1" s="1"/>
  <c r="H31" i="1"/>
  <c r="I31" i="1" s="1"/>
  <c r="H30" i="1"/>
  <c r="H29" i="1"/>
  <c r="I29" i="1" s="1"/>
  <c r="H28" i="1"/>
  <c r="H27" i="1"/>
  <c r="I27" i="1" s="1"/>
  <c r="H26" i="1"/>
  <c r="I26" i="1" s="1"/>
  <c r="H25" i="1"/>
  <c r="I25" i="1" s="1"/>
  <c r="H24" i="1"/>
  <c r="I24" i="1" s="1"/>
  <c r="H23" i="1"/>
  <c r="I23" i="1" s="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C28" i="1"/>
  <c r="D104" i="9" s="1"/>
  <c r="C26" i="1"/>
  <c r="C21" i="1"/>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C23" i="1" l="1" a="1"/>
  <c r="C23" i="1" s="1"/>
  <c r="C24" i="1" a="1"/>
  <c r="C24" i="1" s="1"/>
  <c r="J11" i="9" s="1"/>
  <c r="H18" i="1"/>
  <c r="I18" i="1" s="1"/>
  <c r="C41" i="1"/>
  <c r="C16" i="1"/>
  <c r="J30" i="1"/>
  <c r="J63" i="1"/>
  <c r="J28" i="1"/>
  <c r="J29" i="1"/>
  <c r="J40" i="1"/>
  <c r="J41" i="1"/>
  <c r="I30" i="1"/>
  <c r="J42" i="1"/>
  <c r="J52" i="1"/>
  <c r="I28" i="1"/>
  <c r="J53" i="1"/>
  <c r="J54" i="1"/>
  <c r="J44" i="1"/>
  <c r="J65" i="1"/>
  <c r="J64" i="1"/>
  <c r="J66" i="1"/>
  <c r="J67" i="1"/>
  <c r="J43" i="1"/>
  <c r="J69" i="1"/>
  <c r="J56" i="1"/>
  <c r="J33" i="1"/>
  <c r="J45" i="1"/>
  <c r="J57" i="1"/>
  <c r="J34" i="1"/>
  <c r="J46" i="1"/>
  <c r="J58" i="1"/>
  <c r="J70" i="1"/>
  <c r="J71" i="1"/>
  <c r="J36" i="1"/>
  <c r="J72" i="1"/>
  <c r="H73" i="1"/>
  <c r="I73" i="1" s="1"/>
  <c r="J55" i="1"/>
  <c r="J32" i="1"/>
  <c r="J68" i="1"/>
  <c r="J25" i="1"/>
  <c r="J23" i="1"/>
  <c r="J35" i="1"/>
  <c r="J47" i="1"/>
  <c r="J59" i="1"/>
  <c r="J24" i="1"/>
  <c r="J60" i="1"/>
  <c r="J61" i="1"/>
  <c r="J26" i="1"/>
  <c r="J38" i="1"/>
  <c r="J50" i="1"/>
  <c r="J62" i="1"/>
  <c r="J31" i="1"/>
  <c r="J48" i="1"/>
  <c r="J37" i="1"/>
  <c r="J49" i="1"/>
  <c r="J27" i="1"/>
  <c r="J39" i="1"/>
  <c r="J51" i="1"/>
  <c r="H16" i="1"/>
  <c r="I16" i="1" s="1"/>
  <c r="C33" i="1"/>
  <c r="B6" i="9" s="1"/>
  <c r="H17" i="1"/>
  <c r="I17" i="1" s="1"/>
  <c r="H11" i="9"/>
  <c r="H15" i="1"/>
  <c r="I15" i="1" s="1"/>
  <c r="H14" i="1"/>
  <c r="I14" i="1" s="1"/>
  <c r="H13" i="1"/>
  <c r="I13" i="1" s="1"/>
  <c r="H12" i="1"/>
  <c r="I12" i="1" s="1"/>
  <c r="H11" i="1"/>
  <c r="I11" i="1" s="1"/>
  <c r="C15" i="1"/>
  <c r="H10" i="1"/>
  <c r="I10" i="1" s="1"/>
  <c r="C17" i="1"/>
  <c r="H9" i="1"/>
  <c r="I9" i="1" s="1"/>
  <c r="H8" i="1"/>
  <c r="I8" i="1" s="1"/>
  <c r="H6" i="1"/>
  <c r="I6" i="1" s="1"/>
  <c r="H7" i="1"/>
  <c r="I7" i="1" s="1"/>
  <c r="D11" i="9"/>
  <c r="C7" i="1"/>
  <c r="C6" i="1"/>
  <c r="C9" i="1"/>
  <c r="C8" i="1"/>
  <c r="L23" i="1" l="1" a="1"/>
  <c r="L23" i="1" s="1"/>
  <c r="L6" i="1" a="1"/>
  <c r="L6" i="1" s="1"/>
  <c r="J73" i="1"/>
  <c r="J11" i="1"/>
  <c r="J12" i="1"/>
  <c r="D17" i="1"/>
  <c r="J8" i="1"/>
  <c r="J15" i="1"/>
  <c r="J9" i="1"/>
  <c r="J10" i="1"/>
  <c r="J18" i="1"/>
  <c r="C18" i="1"/>
  <c r="J7" i="1"/>
  <c r="D15" i="1"/>
  <c r="J6" i="1"/>
  <c r="J16" i="1"/>
  <c r="J13" i="1"/>
  <c r="J14" i="1"/>
  <c r="D16" i="1"/>
  <c r="H19" i="1"/>
  <c r="I19" i="1" s="1"/>
  <c r="J17" i="1"/>
  <c r="D8" i="1"/>
  <c r="D9" i="1"/>
  <c r="D7" i="1"/>
  <c r="D6" i="1"/>
  <c r="C10" i="1"/>
  <c r="D18" i="1" l="1"/>
  <c r="J19" i="1"/>
  <c r="D1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65A431-488B-4987-A90D-A4CF4003C3D0}" keepAlive="1" name="Query - AuditJson_Source" description="Connection to the 'AuditJson_Source' query in the workbook." type="5" refreshedVersion="0" background="1">
    <dbPr connection="Provider=Microsoft.Mashup.OleDb.1;Data Source=$Workbook$;Location=AuditJson_Source;Extended Properties=&quot;&quot;" command="SELECT * FROM [AuditJson_Source]"/>
  </connection>
  <connection id="2" xr16:uid="{4292E6F6-5AF0-4843-AD66-AEBDD18976DF}" keepAlive="1" name="Query - compliance" description="Connection to the 'compliance' query in the workbook." type="5" refreshedVersion="8" background="1" saveData="1">
    <dbPr connection="Provider=Microsoft.Mashup.OleDb.1;Data Source=$Workbook$;Location=compliance;Extended Properties=&quot;&quot;" command="SELECT * FROM [compliance]"/>
  </connection>
  <connection id="3" xr16:uid="{42A6BEA3-A67F-4EA8-B6F3-E00E984F58D3}" keepAlive="1" name="Query - non-compliance" description="Connection to the 'non-compliance' query in the workbook." type="5" refreshedVersion="8" background="1" saveData="1">
    <dbPr connection="Provider=Microsoft.Mashup.OleDb.1;Data Source=$Workbook$;Location=non-compliance;Extended Properties=&quot;&quot;" command="SELECT * FROM [non-compliance]"/>
  </connection>
  <connection id="4" xr16:uid="{FFE4E571-86D8-4DD4-BD9E-A2464A1B7CB0}" keepAlive="1" name="Query - rawFindings" description="Connection to the 'rawFindings' query in the workbook." type="5" refreshedVersion="8" background="1" saveData="1">
    <dbPr connection="Provider=Microsoft.Mashup.OleDb.1;Data Source=$Workbook$;Location=rawFindings;Extended Properties=&quot;&quot;" command="SELECT * FROM [rawFindings]"/>
  </connection>
  <connection id="5" xr16:uid="{B2A7A8D2-81FA-488D-8731-D741AABD65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B7DFA73A-68DA-4DB3-A8B3-33283A3E5B8C}" name="WorksheetConnection_Book1.xlsx!compliance" type="102" refreshedVersion="8" minRefreshableVersion="5">
    <extLst>
      <ext xmlns:x15="http://schemas.microsoft.com/office/spreadsheetml/2010/11/main" uri="{DE250136-89BD-433C-8126-D09CA5730AF9}">
        <x15:connection id="compliance" autoDelete="1">
          <x15:rangePr sourceName="_xlcn.WorksheetConnection_Book1.xlsxcomplianc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<sst xmlns="http://schemas.openxmlformats.org/spreadsheetml/2006/main" count="1516" uniqueCount="463">
  <si>
    <t>violations</t>
  </si>
  <si>
    <t>severity</t>
  </si>
  <si>
    <t>pageId</t>
  </si>
  <si>
    <t>pageUrl</t>
  </si>
  <si>
    <t>auditRunId</t>
  </si>
  <si>
    <t>startedAt</t>
  </si>
  <si>
    <t>finishedAt</t>
  </si>
  <si>
    <t>siteId</t>
  </si>
  <si>
    <t>4.1.2</t>
  </si>
  <si>
    <t>critical</t>
  </si>
  <si>
    <t>home</t>
  </si>
  <si>
    <t>2.4.4</t>
  </si>
  <si>
    <t>high</t>
  </si>
  <si>
    <t>1.4.3</t>
  </si>
  <si>
    <t>https://taxportal.mof.gov.cy/</t>
  </si>
  <si>
    <t>run-1769761573308</t>
  </si>
  <si>
    <t>taxportal</t>
  </si>
  <si>
    <t>3.1.1</t>
  </si>
  <si>
    <t>1.1.1</t>
  </si>
  <si>
    <t>login</t>
  </si>
  <si>
    <t>https://taxportal.mof.gov.cy/Account/Login</t>
  </si>
  <si>
    <t>faq</t>
  </si>
  <si>
    <t>https://taxportal.mof.gov.cy/Home/About</t>
  </si>
  <si>
    <t>Περιγραφή Ρήτρας</t>
  </si>
  <si>
    <t>Κριτήριο WCAG</t>
  </si>
  <si>
    <t>Ρήτρα Ευρωπαϊκού Πρότυπου</t>
  </si>
  <si>
    <t>Επίπεδο Συμμόρφωσης</t>
  </si>
  <si>
    <t>Αρχή</t>
  </si>
  <si>
    <t>Ανάγκη Προσβασιμότητας Χρήστη</t>
  </si>
  <si>
    <t>Guideline</t>
  </si>
  <si>
    <t>Non-text content</t>
  </si>
  <si>
    <t>9.1.1.1</t>
  </si>
  <si>
    <t>A</t>
  </si>
  <si>
    <t>P</t>
  </si>
  <si>
    <t>WV, LV, WH, LH, LC</t>
  </si>
  <si>
    <t>Text Alternatives</t>
  </si>
  <si>
    <t>Audio-only and video-only (pre-recorded)</t>
  </si>
  <si>
    <t>1.2.1</t>
  </si>
  <si>
    <t>9.1.2.1</t>
  </si>
  <si>
    <t>Time-based Media</t>
  </si>
  <si>
    <t>Captions (pre-recorded)</t>
  </si>
  <si>
    <t>1.2.2</t>
  </si>
  <si>
    <t>9.1.2.2</t>
  </si>
  <si>
    <t>WH, LH, LC</t>
  </si>
  <si>
    <t>Audio description or media alternative (pre-recorded)</t>
  </si>
  <si>
    <t>1.2.3</t>
  </si>
  <si>
    <t>9.1.2.3</t>
  </si>
  <si>
    <t>WV, LV, LC</t>
  </si>
  <si>
    <t>Captions (Live)</t>
  </si>
  <si>
    <t>1.2.4</t>
  </si>
  <si>
    <t>9.1.2.4</t>
  </si>
  <si>
    <t>AA</t>
  </si>
  <si>
    <t>1.2.5</t>
  </si>
  <si>
    <t>9.1.2.5</t>
  </si>
  <si>
    <t>W, LV, LC</t>
  </si>
  <si>
    <t>Info and relationships</t>
  </si>
  <si>
    <t>1.3.1</t>
  </si>
  <si>
    <t>9.1.3.1</t>
  </si>
  <si>
    <t>Adaptable</t>
  </si>
  <si>
    <t>Meaningful sequence</t>
  </si>
  <si>
    <t>1.3.2</t>
  </si>
  <si>
    <t>9.1.3.2</t>
  </si>
  <si>
    <t>Sensory characteristics</t>
  </si>
  <si>
    <t>1.3.3</t>
  </si>
  <si>
    <t>9.1.3.3</t>
  </si>
  <si>
    <t>WV, LV, WPC, WH, LH, LC</t>
  </si>
  <si>
    <t>Orientation</t>
  </si>
  <si>
    <t>1.3.4</t>
  </si>
  <si>
    <t>9.1.3.4</t>
  </si>
  <si>
    <t>LMS, LR, LC</t>
  </si>
  <si>
    <t>Identify input purpose</t>
  </si>
  <si>
    <t>1.3.5</t>
  </si>
  <si>
    <t>9.1.3.5</t>
  </si>
  <si>
    <t>LV</t>
  </si>
  <si>
    <t>Use of colour</t>
  </si>
  <si>
    <t>1.4.1</t>
  </si>
  <si>
    <t>9.1.4.1</t>
  </si>
  <si>
    <t>WV, LV, WPC, LC</t>
  </si>
  <si>
    <t>Distinguishable</t>
  </si>
  <si>
    <t>Audio control</t>
  </si>
  <si>
    <t>1.4.2</t>
  </si>
  <si>
    <t>9.1.4.2</t>
  </si>
  <si>
    <t>WV, LH, LC</t>
  </si>
  <si>
    <t>Contrast (minimum)</t>
  </si>
  <si>
    <t>9.1.4.3</t>
  </si>
  <si>
    <t>LV, WPC, LC</t>
  </si>
  <si>
    <t>Resize text</t>
  </si>
  <si>
    <t>1.4.4</t>
  </si>
  <si>
    <t>9.1.4.4</t>
  </si>
  <si>
    <t>Images of text</t>
  </si>
  <si>
    <t>1.4.5</t>
  </si>
  <si>
    <t>9.1.4.5</t>
  </si>
  <si>
    <t>Reflow</t>
  </si>
  <si>
    <t>1.4.10</t>
  </si>
  <si>
    <t>9.1.4.10</t>
  </si>
  <si>
    <t>Non-text contrast</t>
  </si>
  <si>
    <t>1.4.11</t>
  </si>
  <si>
    <t>9.1.4.11</t>
  </si>
  <si>
    <t>Text spacing</t>
  </si>
  <si>
    <t>1.4.12</t>
  </si>
  <si>
    <t>9.1.4.12</t>
  </si>
  <si>
    <t>LV, LC</t>
  </si>
  <si>
    <t>Content on hover or focus</t>
  </si>
  <si>
    <t>1.4.13</t>
  </si>
  <si>
    <t>9.1.4.13</t>
  </si>
  <si>
    <t>Keyboard</t>
  </si>
  <si>
    <t>2.1.1</t>
  </si>
  <si>
    <t>9.2.1.1</t>
  </si>
  <si>
    <t>O</t>
  </si>
  <si>
    <t>WV, LV, LMS, WVC</t>
  </si>
  <si>
    <t>Keyboard Accessible</t>
  </si>
  <si>
    <t>No keyboard trap</t>
  </si>
  <si>
    <t>2.1.2</t>
  </si>
  <si>
    <t>9.2.1.2</t>
  </si>
  <si>
    <t>WV, LV, LR, LMS</t>
  </si>
  <si>
    <t>Character key shortcuts</t>
  </si>
  <si>
    <t>2.1.4</t>
  </si>
  <si>
    <t>9.2.1.4</t>
  </si>
  <si>
    <t>Timing adjustable</t>
  </si>
  <si>
    <t>2.2.1</t>
  </si>
  <si>
    <t>9.2.2.1</t>
  </si>
  <si>
    <t>WV, LV, WH, LH, LMS, LC</t>
  </si>
  <si>
    <t>Enough Time</t>
  </si>
  <si>
    <t>Pause, stop, hide</t>
  </si>
  <si>
    <t>2.2.2</t>
  </si>
  <si>
    <t>9.2.2.2</t>
  </si>
  <si>
    <t>Three flashes or below threshold</t>
  </si>
  <si>
    <t>2.3.1</t>
  </si>
  <si>
    <t>9.2.3.1</t>
  </si>
  <si>
    <t>PST</t>
  </si>
  <si>
    <t>Seizures and Physical Reactions</t>
  </si>
  <si>
    <t>Bypass blocks</t>
  </si>
  <si>
    <t>2.4.1</t>
  </si>
  <si>
    <t>9.2.4.1</t>
  </si>
  <si>
    <t>WV, LV, LR, LC, WVC</t>
  </si>
  <si>
    <t>Navigable</t>
  </si>
  <si>
    <t>Page titled</t>
  </si>
  <si>
    <t>2.4.2</t>
  </si>
  <si>
    <t>9.2.4.2</t>
  </si>
  <si>
    <t>WV, LV, LMS, LC</t>
  </si>
  <si>
    <t>Focus order</t>
  </si>
  <si>
    <t>2.4.3</t>
  </si>
  <si>
    <t>9.2.4.3</t>
  </si>
  <si>
    <t>Link purpose (in context)</t>
  </si>
  <si>
    <t>9.2.4.4</t>
  </si>
  <si>
    <t>WV, LV, LMS, LC, WVC</t>
  </si>
  <si>
    <t>Multiple ways</t>
  </si>
  <si>
    <t>2.4.5</t>
  </si>
  <si>
    <t>9.2.4.5</t>
  </si>
  <si>
    <t>Headings and labels</t>
  </si>
  <si>
    <t>2.4.6</t>
  </si>
  <si>
    <t>9.2.4.6</t>
  </si>
  <si>
    <t>WV, LV, LMS, LC, WH, WVC</t>
  </si>
  <si>
    <t>Focus visible</t>
  </si>
  <si>
    <t>2.4.7</t>
  </si>
  <si>
    <t>9.2.4.7</t>
  </si>
  <si>
    <t>Pointer gestures</t>
  </si>
  <si>
    <t>2.5.1</t>
  </si>
  <si>
    <t>9.2.5.1</t>
  </si>
  <si>
    <t>Input Modalities</t>
  </si>
  <si>
    <t>Pointer cancellation</t>
  </si>
  <si>
    <t>2.5.2</t>
  </si>
  <si>
    <t>9.2.5.2</t>
  </si>
  <si>
    <t>LV, LMS, LR, LC</t>
  </si>
  <si>
    <t>Label in name</t>
  </si>
  <si>
    <t>2.5.3</t>
  </si>
  <si>
    <t>9.2.5.3</t>
  </si>
  <si>
    <t>Motion actuation</t>
  </si>
  <si>
    <t>2.5.4</t>
  </si>
  <si>
    <t>9.2.5.4</t>
  </si>
  <si>
    <t>LMS, LR, WV, LV, LC</t>
  </si>
  <si>
    <t>Language of page</t>
  </si>
  <si>
    <t>9.3.1.1</t>
  </si>
  <si>
    <t>U</t>
  </si>
  <si>
    <t>Readable</t>
  </si>
  <si>
    <t>Language of parts</t>
  </si>
  <si>
    <t>3.1.2</t>
  </si>
  <si>
    <t>9.3.1.2</t>
  </si>
  <si>
    <t>On focus</t>
  </si>
  <si>
    <t>3.2.1</t>
  </si>
  <si>
    <t>9.3.2.1</t>
  </si>
  <si>
    <t>Predictable</t>
  </si>
  <si>
    <t>On input</t>
  </si>
  <si>
    <t>3.2.2</t>
  </si>
  <si>
    <t>9.3.2.2</t>
  </si>
  <si>
    <t>Consistent navigation</t>
  </si>
  <si>
    <t>3.2.3</t>
  </si>
  <si>
    <t>9.3.2.3</t>
  </si>
  <si>
    <t>Consistent identification</t>
  </si>
  <si>
    <t>3.2.4</t>
  </si>
  <si>
    <t>9.3.2.4</t>
  </si>
  <si>
    <t>LV, LC, WV</t>
  </si>
  <si>
    <t>Error identification</t>
  </si>
  <si>
    <t>3.3.1</t>
  </si>
  <si>
    <t>9.3.3.1</t>
  </si>
  <si>
    <t>Input Assistance</t>
  </si>
  <si>
    <t>Labels or instructions</t>
  </si>
  <si>
    <t>3.3.2</t>
  </si>
  <si>
    <t>9.3.3.2</t>
  </si>
  <si>
    <t>WV, LV, LC, WVC, LMS</t>
  </si>
  <si>
    <t>Error suggestion</t>
  </si>
  <si>
    <t>3.3.3</t>
  </si>
  <si>
    <t>9.3.3.3</t>
  </si>
  <si>
    <t>Error prevention (legal, financial, data)</t>
  </si>
  <si>
    <t>3.3.4</t>
  </si>
  <si>
    <t>9.3.3.4</t>
  </si>
  <si>
    <t>WV, LV, LC, LMS</t>
  </si>
  <si>
    <t>Parsing</t>
  </si>
  <si>
    <t>4.1.1</t>
  </si>
  <si>
    <t>9.4.1.1</t>
  </si>
  <si>
    <t>R</t>
  </si>
  <si>
    <t>WV, LV</t>
  </si>
  <si>
    <t>Compatible</t>
  </si>
  <si>
    <t>Name, role, value</t>
  </si>
  <si>
    <t>9.4.1.2</t>
  </si>
  <si>
    <t>WV, LV, LMS</t>
  </si>
  <si>
    <t>Status messages</t>
  </si>
  <si>
    <t>4.1.3</t>
  </si>
  <si>
    <t>9.4.1.3</t>
  </si>
  <si>
    <t>WV, LV, WPC, WH, LH, LMS, LR, PST, LC, WVC</t>
  </si>
  <si>
    <t>1.4</t>
  </si>
  <si>
    <t>Perceivable</t>
  </si>
  <si>
    <t>4.1</t>
  </si>
  <si>
    <t>Robust</t>
  </si>
  <si>
    <t>3.1</t>
  </si>
  <si>
    <t>Understandable</t>
  </si>
  <si>
    <t>occurrences</t>
  </si>
  <si>
    <t>criterionId</t>
  </si>
  <si>
    <t>Criterion - name - EU</t>
  </si>
  <si>
    <t>ruleId</t>
  </si>
  <si>
    <t>aria-dialog-name</t>
  </si>
  <si>
    <t>heading-order</t>
  </si>
  <si>
    <t>medium</t>
  </si>
  <si>
    <t>landmark-unique</t>
  </si>
  <si>
    <t>region</t>
  </si>
  <si>
    <t>GuidelineId</t>
  </si>
  <si>
    <t>Principle</t>
  </si>
  <si>
    <t>Level</t>
  </si>
  <si>
    <t>Overall Analysis</t>
  </si>
  <si>
    <t>Violations per principle</t>
  </si>
  <si>
    <t>Violations</t>
  </si>
  <si>
    <t>Percentage</t>
  </si>
  <si>
    <t>Operable</t>
  </si>
  <si>
    <t>Volations per level</t>
  </si>
  <si>
    <t>AAA</t>
  </si>
  <si>
    <t>Violations per guideline</t>
  </si>
  <si>
    <t>Guideline id</t>
  </si>
  <si>
    <t>1.1</t>
  </si>
  <si>
    <t>1.2</t>
  </si>
  <si>
    <t>1.3</t>
  </si>
  <si>
    <t>2.1</t>
  </si>
  <si>
    <t>2.2</t>
  </si>
  <si>
    <t>2.3</t>
  </si>
  <si>
    <t>2.4</t>
  </si>
  <si>
    <t>2.5</t>
  </si>
  <si>
    <t>3.2</t>
  </si>
  <si>
    <t>3.3</t>
  </si>
  <si>
    <t>1.1 - Text Alternatives</t>
  </si>
  <si>
    <t>1.2 - Time-based Media</t>
  </si>
  <si>
    <t>1.3 - Adaptable</t>
  </si>
  <si>
    <t>1.4 - Distinguishable</t>
  </si>
  <si>
    <t>2.1 - Keyboard Accessible</t>
  </si>
  <si>
    <t>2.2 - Enough Time</t>
  </si>
  <si>
    <t>2.3 - Seizures and Physical Reactions</t>
  </si>
  <si>
    <t>2.4 - Navigable</t>
  </si>
  <si>
    <t>2.5 - Input Modalities</t>
  </si>
  <si>
    <t>3.1 - Readable</t>
  </si>
  <si>
    <t>3.2 - Predictable</t>
  </si>
  <si>
    <t>3.3 - Input Assistance</t>
  </si>
  <si>
    <t>4.1 - Compatible</t>
  </si>
  <si>
    <t>Summary</t>
  </si>
  <si>
    <t>Status</t>
  </si>
  <si>
    <t>Total criteria found</t>
  </si>
  <si>
    <t>Total guidelines found</t>
  </si>
  <si>
    <t>Total principles found</t>
  </si>
  <si>
    <t>Total violations</t>
  </si>
  <si>
    <t>Total Pages found</t>
  </si>
  <si>
    <t>Pivot table Analysis</t>
  </si>
  <si>
    <t>Per Page</t>
  </si>
  <si>
    <t>Row Labels</t>
  </si>
  <si>
    <t>Grand Total</t>
  </si>
  <si>
    <t>Sum of violations</t>
  </si>
  <si>
    <t>1.1.1 - Non-text content - 9.1.1.1</t>
  </si>
  <si>
    <t>Column Labels</t>
  </si>
  <si>
    <t>rawFindingId</t>
  </si>
  <si>
    <t>message</t>
  </si>
  <si>
    <t>selector</t>
  </si>
  <si>
    <t>impact</t>
  </si>
  <si>
    <t>findingType</t>
  </si>
  <si>
    <t>timestamp</t>
  </si>
  <si>
    <t>wcagTags</t>
  </si>
  <si>
    <t>f4882a0f-18d2-489e-9436-a6a5b10ac73e</t>
  </si>
  <si>
    <t>Ensure every ARIA dialog and alertdialog node has an accessible name</t>
  </si>
  <si>
    <t>#cookieConsent</t>
  </si>
  <si>
    <t>serious</t>
  </si>
  <si>
    <t>violation</t>
  </si>
  <si>
    <t>2026-01-30T08:26:16.437Z</t>
  </si>
  <si>
    <t>cat.aria | best-practice</t>
  </si>
  <si>
    <t>8c6659a8-f4af-4277-b02f-15dd54da05e0</t>
  </si>
  <si>
    <t>color-contrast</t>
  </si>
  <si>
    <t>Ensure the contrast between foreground and background colors meets WCAG 2 AA minimum contrast ratio thresholds</t>
  </si>
  <si>
    <t>a[href$="Login"] &gt; .nav-label</t>
  </si>
  <si>
    <t>cat.color | wcag2aa | wcag143 | TTv5 | TT13.c | EN-301-549 | EN-9.1.4.3 | ACT | RGAAv4 | RGAA-3.2.1</t>
  </si>
  <si>
    <t>04bbbcaa-ebd7-476b-9eba-a9b902ff418b</t>
  </si>
  <si>
    <t>.navbar-text:nth-child(1) &gt; .btn-link.btn[target="_blank"]</t>
  </si>
  <si>
    <t>64dc93ba-a119-4edf-b86a-fb80ec852e75</t>
  </si>
  <si>
    <t>a[a=""]</t>
  </si>
  <si>
    <t>61757a07-0269-4b07-89a0-59f0d8fb6283</t>
  </si>
  <si>
    <t>button</t>
  </si>
  <si>
    <t>61a8b223-d6aa-48e9-bb14-ed49e2f89125</t>
  </si>
  <si>
    <t>.btn-lg</t>
  </si>
  <si>
    <t>26d4cefb-6984-424e-8f2b-e9c66d9fcfc5</t>
  </si>
  <si>
    <t>Ensure the order of headings is semantically correct</t>
  </si>
  <si>
    <t>h5</t>
  </si>
  <si>
    <t>moderate</t>
  </si>
  <si>
    <t>cat.semantics | best-practice</t>
  </si>
  <si>
    <t>2e673ac4-0c11-4a88-851c-36ff5f0e4765</t>
  </si>
  <si>
    <t>html-has-lang</t>
  </si>
  <si>
    <t>Ensure every HTML document has a lang attribute</t>
  </si>
  <si>
    <t>html</t>
  </si>
  <si>
    <t>cat.language | wcag2a | wcag311 | TTv5 | TT11.a | EN-301-549 | EN-9.3.1.1 | ACT | RGAAv4 | RGAA-8.3.1</t>
  </si>
  <si>
    <t>0998996b-193c-4330-baf4-54164fed51e7</t>
  </si>
  <si>
    <t>image-alt</t>
  </si>
  <si>
    <t>Ensure &lt;img&gt; elements have alternative text or a role of none or presentation</t>
  </si>
  <si>
    <t>li:nth-child(2) &gt; img</t>
  </si>
  <si>
    <t>cat.text-alternatives | wcag2a | wcag111 | section508 | section508.22.a | TTv5 | TT7.a | TT7.b | EN-301-549 | EN-9.1.1.1 | ACT | RGAAv4 | RGAA-1.1.1</t>
  </si>
  <si>
    <t>6eb19aac-1037-4e12-badd-595efaf6b233</t>
  </si>
  <si>
    <t>a[href="/Language/Set?lang=en-gb"] &gt; img</t>
  </si>
  <si>
    <t>3b851469-0b63-402f-8a9a-287fe6898817</t>
  </si>
  <si>
    <t>img[src$="cy_logo_sm.png"]</t>
  </si>
  <si>
    <t>93e23922-3699-45a9-afbc-9148eaf74454</t>
  </si>
  <si>
    <t>Ensure landmarks are unique</t>
  </si>
  <si>
    <t>.navbar-default</t>
  </si>
  <si>
    <t>e4001131-d853-45aa-b4e8-ca02c1a57761</t>
  </si>
  <si>
    <t>link-name</t>
  </si>
  <si>
    <t>Ensure links have discernible text</t>
  </si>
  <si>
    <t>.navbar-minimalize</t>
  </si>
  <si>
    <t>cat.name-role-value | wcag2a | wcag244 | wcag412 | section508 | section508.22.a | TTv5 | TT6.a | EN-301-549 | EN-9.2.4.4 | EN-9.4.1.2 | ACT | RGAAv4 | RGAA-6.2.1</t>
  </si>
  <si>
    <t>aca21cdf-0318-4ef0-9ac0-d8a5bcd1e2a6</t>
  </si>
  <si>
    <t>a[href="/Language/Set?lang=en-gb"]</t>
  </si>
  <si>
    <t>f6d9c6e3-041e-40ad-9e4d-0eabdefcc6e8</t>
  </si>
  <si>
    <t>Ensure all page content is contained by landmarks</t>
  </si>
  <si>
    <t>.row:nth-child(5)</t>
  </si>
  <si>
    <t>cat.keyboard | best-practice | RGAAv4 | RGAA-9.2.1</t>
  </si>
  <si>
    <t>2fac5d4c-7abb-4deb-8551-8ce946af118d</t>
  </si>
  <si>
    <t>.row:nth-child(7)</t>
  </si>
  <si>
    <t>96c7383c-b749-43d9-9687-c7bce51d1220</t>
  </si>
  <si>
    <t>.row:nth-child(8)</t>
  </si>
  <si>
    <t>64a5a709-660a-4d66-b1f1-ecde949f59c6</t>
  </si>
  <si>
    <t>.footer</t>
  </si>
  <si>
    <t>a94fa88e-cff4-45e7-841b-17db37f9f21d</t>
  </si>
  <si>
    <t>2026-01-30T08:26:19.256Z</t>
  </si>
  <si>
    <t>6603ef84-8774-405e-9279-b6444eede637</t>
  </si>
  <si>
    <t>fff516f7-535b-46f6-bf79-b68cc49c75a1</t>
  </si>
  <si>
    <t>a19a0312-3f79-4495-bdb0-c2439e82b180</t>
  </si>
  <si>
    <t>.btn-info</t>
  </si>
  <si>
    <t>3ab12892-c05c-4521-988d-388722889a1a</t>
  </si>
  <si>
    <t>.btn-primary</t>
  </si>
  <si>
    <t>3e6067f2-738e-42b6-bafb-b8e83c58201a</t>
  </si>
  <si>
    <t>d06fe0a9-45e1-49cc-9cbe-179084845615</t>
  </si>
  <si>
    <t>img[src$="Greece.png"]</t>
  </si>
  <si>
    <t>7a4b27be-0ca2-4c19-8d12-b3f1aebd084d</t>
  </si>
  <si>
    <t>77805373-d6fe-4fd5-835b-c17043e8f7c2</t>
  </si>
  <si>
    <t>#img-captcha</t>
  </si>
  <si>
    <t>4d69d781-becb-4b86-ba43-65bbfdedebb0</t>
  </si>
  <si>
    <t>label</t>
  </si>
  <si>
    <t>Ensure every form element has a label</t>
  </si>
  <si>
    <t>#Username</t>
  </si>
  <si>
    <t>cat.forms | wcag2a | wcag412 | section508 | section508.22.n | TTv5 | TT5.c | EN-301-549 | EN-9.4.1.2 | ACT | RGAAv4 | RGAA-11.1.1</t>
  </si>
  <si>
    <t>ca4cc044-f1ac-4207-9178-aaad73bfb252</t>
  </si>
  <si>
    <t>#Password</t>
  </si>
  <si>
    <t>0c9f6481-02b8-47c2-8dd4-1a613f61c110</t>
  </si>
  <si>
    <t>#CaptchaCode</t>
  </si>
  <si>
    <t>4c79dae3-c4b8-4f25-9ca0-0c3589eea1e5</t>
  </si>
  <si>
    <t>a[href="/"]</t>
  </si>
  <si>
    <t>a3b63f33-4fa9-4375-b60c-2b6b37fd8f94</t>
  </si>
  <si>
    <t>a[href="/Language/Set?lang=el"]</t>
  </si>
  <si>
    <t>02d9bd36-6d3a-42d2-8048-a3bab196a871</t>
  </si>
  <si>
    <t>abf60a92-3625-44e3-999f-3125a12aa0a4</t>
  </si>
  <si>
    <t>div:nth-child(1) &gt; .text-right</t>
  </si>
  <si>
    <t>8c380885-72dc-4ead-a9a0-9f46407adc8b</t>
  </si>
  <si>
    <t>.row:nth-child(1) &gt; .col-md-6:nth-child(1)</t>
  </si>
  <si>
    <t>bb6bc8c5-dc46-46aa-bc47-0c85096cc8ed</t>
  </si>
  <si>
    <t>.m-t</t>
  </si>
  <si>
    <t>98e1b224-538b-4468-815f-e698d99b5fb2</t>
  </si>
  <si>
    <t>.row:nth-child(3)</t>
  </si>
  <si>
    <t>1882b8cc-1c97-43f0-b45f-15e533037a9b</t>
  </si>
  <si>
    <t>2026-01-30T08:26:22.638Z</t>
  </si>
  <si>
    <t>62f658d5-a4c4-4185-8c66-001c95d524c0</t>
  </si>
  <si>
    <t>cec0db7c-03f1-4e64-b743-c77cc48e9329</t>
  </si>
  <si>
    <t>bdb5ab5b-92a0-4899-8436-12b042b20d6c</t>
  </si>
  <si>
    <t>377634f8-6a9c-4d22-a032-b039fa8a579b</t>
  </si>
  <si>
    <t>9de606b4-fe64-4692-b02f-dee1f14af63a</t>
  </si>
  <si>
    <t>a[href$="HowTo-GR.pdf"]</t>
  </si>
  <si>
    <t>429e3374-2866-42c8-9a11-cdf55b8b9687</t>
  </si>
  <si>
    <t>a[href$="HowTo-GR.zip"]</t>
  </si>
  <si>
    <t>890c624e-60f8-44fb-838c-90069e8232ff</t>
  </si>
  <si>
    <t>a[href$="ReviseTempAsm.pdf"]</t>
  </si>
  <si>
    <t>8b938fc8-1229-4f03-90ff-36ef510b8263</t>
  </si>
  <si>
    <t>97b1525b-9b2a-4d43-b4c2-b20c3bb51dcf</t>
  </si>
  <si>
    <t>9054b33e-59c2-4d6a-8438-f1da0ddea7fa</t>
  </si>
  <si>
    <t>792f8bef-456c-40b8-b30c-b7937c5d0e88</t>
  </si>
  <si>
    <t>b2e956f2-a1f2-4c04-b9c5-7bcbcd9f5da7</t>
  </si>
  <si>
    <t>e8ef36c3-eb31-4c43-a358-08e1053461a1</t>
  </si>
  <si>
    <t>f745e042-8e4b-4ac3-a549-e80cdc8fa02b</t>
  </si>
  <si>
    <t>21409f2d-df82-452b-8d8c-ebb987d282a5</t>
  </si>
  <si>
    <t>h2</t>
  </si>
  <si>
    <t>d2b889f8-25be-43c5-b4e3-44d078f78d61</t>
  </si>
  <si>
    <t>h3:nth-child(8)</t>
  </si>
  <si>
    <t>2990be80-9c1d-4e30-a809-cc7e3aa93598</t>
  </si>
  <si>
    <t>table:nth-child(9)</t>
  </si>
  <si>
    <t>70007970-a8b5-4a85-a218-d33ce22a12b1</t>
  </si>
  <si>
    <t>h3:nth-child(12)</t>
  </si>
  <si>
    <t>9cc72284-1f8b-4cea-b061-8ca5e9727649</t>
  </si>
  <si>
    <t>table:nth-child(13)</t>
  </si>
  <si>
    <t>b50e9298-c7d4-491d-8fde-aa4c830447d2</t>
  </si>
  <si>
    <t>This report lists automated findings to support remediation.</t>
  </si>
  <si>
    <t>It is not a statement of WCAG conformance.</t>
  </si>
  <si>
    <t>Criteria</t>
  </si>
  <si>
    <t>Total compliance criteria found</t>
  </si>
  <si>
    <t>Total compliance guidelines found</t>
  </si>
  <si>
    <t>Total compliance principles found</t>
  </si>
  <si>
    <t>Total compliance violations</t>
  </si>
  <si>
    <t>Total pages with compliance violations</t>
  </si>
  <si>
    <t>Total rule in non compliance</t>
  </si>
  <si>
    <t>Total non compliance violations</t>
  </si>
  <si>
    <t>Total violations compliance + non</t>
  </si>
  <si>
    <t>Total pages in non compliance</t>
  </si>
  <si>
    <t>Total pages with NON compliance violations</t>
  </si>
  <si>
    <t>Total NON compliance violations</t>
  </si>
  <si>
    <t>Total NON compliance rules</t>
  </si>
  <si>
    <t>Per page per criterion</t>
  </si>
  <si>
    <t>GuidelinId</t>
  </si>
  <si>
    <t>Principle - Guideline - Criteria analysis</t>
  </si>
  <si>
    <t>Page analysis</t>
  </si>
  <si>
    <t>Top 3 criteria</t>
  </si>
  <si>
    <t>Top 3 guidelines</t>
  </si>
  <si>
    <t>Violations per criteria</t>
  </si>
  <si>
    <t>Criteria id</t>
  </si>
  <si>
    <t>Top 3 Guidelines</t>
  </si>
  <si>
    <t>Compliance Violations Analysis</t>
  </si>
  <si>
    <t>Pivot Compliance Violations Analysis</t>
  </si>
  <si>
    <t>Other Violations Analysis</t>
  </si>
  <si>
    <t>Total  violations (Compliance and Other)</t>
  </si>
  <si>
    <t>Sum of occurrences</t>
  </si>
  <si>
    <t>Severity - Rule - Page</t>
  </si>
  <si>
    <t>Non compliance violations per severity</t>
  </si>
  <si>
    <t>Severity</t>
  </si>
  <si>
    <t>low</t>
  </si>
  <si>
    <t>Pivot Other Violations Analysis</t>
  </si>
  <si>
    <t>Page Id</t>
  </si>
  <si>
    <t>Impact</t>
  </si>
  <si>
    <t>Rule Id</t>
  </si>
  <si>
    <t>Message</t>
  </si>
  <si>
    <t>Selector</t>
  </si>
  <si>
    <t>Timestamp</t>
  </si>
  <si>
    <t>Page URL</t>
  </si>
  <si>
    <t>Wcag Tags</t>
  </si>
  <si>
    <t>Page Analysis (Other Violations)</t>
  </si>
  <si>
    <t>2.4.4 - Link purpose (in context) - 9.2.4.4</t>
  </si>
  <si>
    <t>1.4.3 - Contrast (minimum) - 9.1.4.3</t>
  </si>
  <si>
    <t>4.1.2 - Name, role, value - 9.4.1.2</t>
  </si>
  <si>
    <t>3.1.1 - Language of page - 9.3.1.1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</si>
</sst>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b/>
      <sz val="11"/>
      <color theme="1"/>
      <name val="Aptos Narrow"/>
      <family val="2"/>
      <scheme val="minor"/>
    </font>
    <font>
      <b/>
      <sz val="12"/>
      <color rgb="FFFFFFFF"/>
      <name val="Aptos Narrow"/>
      <family val="2"/>
      <scheme val="minor"/>
    </font>
    <font>
      <b/>
      <sz val="12"/>
      <color rgb="FF000000"/>
      <name val="Aptos Narrow"/>
      <family val="2"/>
      <scheme val="minor"/>
    </font>
    <font>
      <sz val="12"/>
      <color rgb="FF000000"/>
      <name val="Aptos Narrow"/>
      <family val="2"/>
      <scheme val="minor"/>
    </font>
    <font>
      <sz val="12"/>
      <color theme="1"/>
      <name val="Aptos Narrow"/>
      <family val="2"/>
      <scheme val="minor"/>
    </font>
    <font>
      <b/>
      <sz val="12"/>
      <color theme="1"/>
      <name val="Aptos Narrow"/>
      <family val="2"/>
      <scheme val="minor"/>
    </font>
    <font>
      <b/>
      <sz val="14"/>
      <color theme="1"/>
      <name val="Aptos Narrow"/>
      <family val="2"/>
      <scheme val="minor"/>
    </font>
    <font>
      <sz val="36"/>
      <color theme="1"/>
      <name val="Aptos Narrow"/>
      <family val="2"/>
      <scheme val="minor"/>
    </font>
    <font>
      <b/>
      <sz val="20"/>
      <color theme="1"/>
      <name val="Aptos Narrow"/>
      <family val="2"/>
      <scheme val="minor"/>
    </font>
    <font>
      <sz val="11"/>
      <color rgb="FF000000"/>
      <name val="Aptos Narrow"/>
      <family val="2"/>
    </font>
  </fonts>
  <fills count="6">
    <fill>
      <patternFill patternType="none"/>
    </fill>
    <fill>
      <patternFill patternType="gray125"/>
    </fill>
    <fill>
      <patternFill patternType="solid">
        <fgColor rgb="FF4472C4"/>
        <bgColor indexed="64"/>
      </patternFill>
    </fill>
    <fill>
      <patternFill patternType="solid">
        <fgColor rgb="FFD9E2F3"/>
        <bgColor indexed="64"/>
      </patternFill>
    </fill>
    <fill>
      <patternFill patternType="solid">
        <fgColor theme="0"/>
        <bgColor indexed="64"/>
      </patternFill>
    </fill>
    <fill>
      <patternFill patternType="solid">
        <fgColor rgb="FFF2F2F2"/>
        <bgColor indexed="64"/>
      </patternFill>
    </fill>
  </fills>
  <borders count="8">
    <border>
      <left/>
      <right/>
      <top/>
      <bottom/>
      <diagonal/>
    </border>
    <border>
      <left style="medium">
        <color rgb="FF8EAADB"/>
      </left>
      <right style="medium">
        <color rgb="FF8EAADB"/>
      </right>
      <top/>
      <bottom style="medium">
        <color rgb="FF8EAADB"/>
      </bottom>
      <diagonal/>
    </border>
    <border>
      <left/>
      <right style="medium">
        <color rgb="FF8EAADB"/>
      </right>
      <top/>
      <bottom style="medium">
        <color rgb="FF8EAADB"/>
      </bottom>
      <diagonal/>
    </border>
    <border>
      <left/>
      <right style="medium">
        <color rgb="FF8EAADB"/>
      </right>
      <top/>
      <bottom/>
      <diagonal/>
    </border>
    <border>
      <left style="medium">
        <color rgb="FF8EAADB"/>
      </left>
      <right style="medium">
        <color rgb="FF8EAADB"/>
      </right>
      <top/>
      <bottom/>
      <diagonal/>
    </border>
    <border>
      <left style="medium">
        <color rgb="FF8EAADB"/>
      </left>
      <right style="medium">
        <color rgb="FF8EAADB"/>
      </right>
      <top style="medium">
        <color rgb="FF8EAADB"/>
      </top>
      <bottom/>
      <diagonal/>
    </border>
    <border>
      <left/>
      <right/>
      <top/>
      <bottom style="thin">
        <color theme="0" tint="-0.149998474074526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2">
    <xf numFmtId="0" fontId="0" fillId="0" borderId="0" xfId="0"/>
    <xf numFmtId="22" fontId="0" fillId="0" borderId="0" xfId="0" applyNumberFormat="1"/>
    <xf numFmtId="0" fontId="2" fillId="2" borderId="0" xfId="0" applyFont="1" applyFill="1" applyAlignment="1">
      <alignment vertical="center" wrapText="1"/>
    </xf>
    <xf numFmtId="0" fontId="3" fillId="3" borderId="1" xfId="0" applyFont="1" applyFill="1" applyBorder="1" applyAlignment="1">
      <alignment vertical="center" wrapText="1"/>
    </xf>
    <xf numFmtId="0" fontId="4" fillId="3" borderId="2" xfId="0" applyFont="1" applyFill="1" applyBorder="1" applyAlignment="1">
      <alignment vertical="center" wrapText="1"/>
    </xf>
    <xf numFmtId="0" fontId="5" fillId="0" borderId="3" xfId="0" applyFont="1" applyBorder="1" applyAlignment="1">
      <alignment vertical="center" wrapText="1"/>
    </xf>
    <xf numFmtId="0" fontId="6" fillId="0" borderId="1" xfId="0" applyFont="1" applyBorder="1" applyAlignment="1">
      <alignment vertical="center" wrapText="1"/>
    </xf>
    <xf numFmtId="0" fontId="5" fillId="0" borderId="2" xfId="0" applyFont="1" applyBorder="1" applyAlignment="1">
      <alignment vertical="center" wrapText="1"/>
    </xf>
    <xf numFmtId="0" fontId="6" fillId="0" borderId="4" xfId="0" applyFont="1" applyBorder="1" applyAlignment="1">
      <alignment vertical="center" wrapText="1"/>
    </xf>
    <xf numFmtId="0" fontId="5" fillId="0" borderId="5" xfId="0" applyFont="1" applyBorder="1" applyAlignment="1">
      <alignment vertical="center" wrapText="1"/>
    </xf>
    <xf numFmtId="0" fontId="0" fillId="0" borderId="0" xfId="0" applyAlignment="1">
      <alignment wrapText="1"/>
    </xf>
    <xf numFmtId="0" fontId="1" fillId="0" borderId="0" xfId="0" applyFont="1"/>
    <xf numFmtId="0" fontId="7" fillId="0" borderId="0" xfId="0" applyFont="1"/>
    <xf numFmtId="10" fontId="1" fillId="0" borderId="0" xfId="0" applyNumberFormat="1" applyFont="1"/>
    <xf numFmtId="10" fontId="0" fillId="0" borderId="0" xfId="0" applyNumberFormat="1"/>
    <xf numFmtId="0" fontId="1" fillId="0" borderId="0" xfId="0" applyFont="1" applyAlignment="1">
      <alignment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8" fillId="4" borderId="0" xfId="0" applyFont="1" applyFill="1" applyAlignment="1">
      <alignment horizontal="center" vertical="center"/>
    </xf>
    <xf numFmtId="0" fontId="0" fillId="5" borderId="0" xfId="0" applyFill="1"/>
    <xf numFmtId="0" fontId="0" fillId="5" borderId="0" xfId="0" applyFill="1" applyAlignment="1">
      <alignment horizontal="center"/>
    </xf>
    <xf numFmtId="0" fontId="1" fillId="4" borderId="6" xfId="0" applyFont="1" applyFill="1" applyBorder="1" applyAlignment="1">
      <alignment horizontal="center" vertical="center" wrapText="1"/>
    </xf>
    <xf numFmtId="0" fontId="0" fillId="0" borderId="7" xfId="0" applyBorder="1" applyAlignment="1">
      <alignment wrapText="1"/>
    </xf>
    <xf numFmtId="0" fontId="0" fillId="0" borderId="7" xfId="0" applyBorder="1"/>
    <xf numFmtId="0" fontId="1" fillId="0" borderId="7" xfId="0" applyFont="1" applyBorder="1" applyAlignment="1">
      <alignment wrapText="1"/>
    </xf>
    <xf numFmtId="0" fontId="1" fillId="0" borderId="7" xfId="0" applyFont="1" applyBorder="1"/>
    <xf numFmtId="0" fontId="7" fillId="0" borderId="0" xfId="0" applyFont="1" applyAlignment="1">
      <alignment horizontal="left" vertical="center"/>
    </xf>
    <xf numFmtId="0" fontId="1" fillId="4" borderId="0" xfId="0" applyFont="1" applyFill="1" applyAlignment="1">
      <alignment horizontal="left"/>
    </xf>
    <xf numFmtId="0" fontId="9" fillId="4" borderId="0" xfId="0" applyFont="1" applyFill="1" applyAlignment="1">
      <alignment horizontal="left" vertical="center"/>
    </xf>
    <xf numFmtId="0" fontId="0" fillId="0" borderId="0" xfId="0" applyNumberFormat="1"/>
  </cellXfs>
  <cellStyles count="1">
    <cellStyle name="Normal" xfId="0" builtinId="0"/>
  </cellStyles>
  <dxfs count="47">
    <dxf>
      <numFmt numFmtId="27" formatCode="dd/mm/yyyy\ h:mm"/>
    </dxf>
    <dxf>
      <numFmt numFmtId="27" formatCode="dd/mm/yyyy\ h:mm"/>
    </dxf>
    <dxf>
      <numFmt numFmtId="27" formatCode="dd/mm/yyyy\ h:mm"/>
    </dxf>
    <dxf>
      <numFmt numFmtId="27" formatCode="dd/mm/yyyy\ h:mm"/>
    </dxf>
    <dxf>
      <font>
        <b val="0"/>
        <i val="0"/>
        <strike val="0"/>
        <condense val="0"/>
        <extend val="0"/>
        <outline val="0"/>
        <shadow val="0"/>
        <u val="none"/>
        <vertAlign val="baseline"/>
        <sz val="12"/>
        <color theme="1"/>
        <name val="Aptos Narrow"/>
        <family val="2"/>
        <scheme val="minor"/>
      </font>
      <numFmt numFmtId="0" formatCode="General"/>
      <alignment horizontal="general" vertical="center" textRotation="0" wrapText="1" indent="0" justifyLastLine="0" shrinkToFit="0" readingOrder="0"/>
      <border diagonalUp="0" diagonalDown="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numFmt numFmtId="0" formatCode="General"/>
      <alignment horizontal="general" vertical="center" textRotation="0" wrapText="1" indent="0" justifyLastLine="0" shrinkToFit="0" readingOrder="0"/>
      <border diagonalUp="0" diagonalDown="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outline="0">
        <left style="medium">
          <color rgb="FF8EAADB"/>
        </left>
        <right style="medium">
          <color rgb="FF8EAADB"/>
        </right>
        <top/>
        <bottom style="medium">
          <color rgb="FF8EAADB"/>
        </bottom>
      </border>
    </dxf>
    <dxf>
      <border outline="0">
        <bottom style="medium">
          <color rgb="FF8EAADB"/>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dxf>
    <dxf>
      <font>
        <b/>
        <i val="0"/>
        <strike val="0"/>
        <condense val="0"/>
        <extend val="0"/>
        <outline val="0"/>
        <shadow val="0"/>
        <u val="none"/>
        <vertAlign val="baseline"/>
        <sz val="12"/>
        <color rgb="FFFFFFFF"/>
        <name val="Aptos Narrow"/>
        <family val="2"/>
        <scheme val="minor"/>
      </font>
      <fill>
        <patternFill patternType="solid">
          <fgColor indexed="64"/>
          <bgColor rgb="FF4472C4"/>
        </patternFill>
      </fill>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4.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microsoft.com/office/2007/relationships/slicerCache" Target="slicerCaches/slicerCache7.xml"/><Relationship Id="rId28" Type="http://schemas.openxmlformats.org/officeDocument/2006/relationships/sheetMetadata" Target="metadata.xml"/><Relationship Id="rId10" Type="http://schemas.openxmlformats.org/officeDocument/2006/relationships/pivotCacheDefinition" Target="pivotCache/pivotCacheDefinition1.xml"/><Relationship Id="rId19" Type="http://schemas.microsoft.com/office/2007/relationships/slicerCache" Target="slicerCaches/slicerCache3.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7/relationships/slicerCache" Target="slicerCaches/slicerCache6.xml"/><Relationship Id="rId27" Type="http://schemas.openxmlformats.org/officeDocument/2006/relationships/sharedStrings" Target="sharedString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Violations per Principle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60D-42E7-AB36-225974CEF7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0D-42E7-AB36-225974CEF75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0D-42E7-AB36-225974CEF75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60D-42E7-AB36-225974CEF75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Analysis!$B$6:$B$9</c:f>
              <c:strCache>
                <c:ptCount val="4"/>
                <c:pt idx="0">
                  <c:v>Perceivable</c:v>
                </c:pt>
                <c:pt idx="1">
                  <c:v>Operable</c:v>
                </c:pt>
                <c:pt idx="2">
                  <c:v>Understandable</c:v>
                </c:pt>
                <c:pt idx="3">
                  <c:v>Robust</c:v>
                </c:pt>
              </c:strCache>
            </c:strRef>
          </c:cat>
          <c:val>
            <c:numRef>
              <c:f>Analysis!$C$6:$C$9</c:f>
              <c:numCache>
                <c:formatCode>General</c:formatCode>
                <c:ptCount val="4"/>
                <c:pt idx="0">
                  <c:v>25</c:v>
                </c:pt>
                <c:pt idx="1">
                  <c:v>7</c:v>
                </c:pt>
                <c:pt idx="2">
                  <c:v>3</c:v>
                </c:pt>
                <c:pt idx="3">
                  <c:v>10</c:v>
                </c:pt>
              </c:numCache>
            </c:numRef>
          </c:val>
          <c:extLst>
            <c:ext xmlns:c16="http://schemas.microsoft.com/office/drawing/2014/chart" uri="{C3380CC4-5D6E-409C-BE32-E72D297353CC}">
              <c16:uniqueId val="{00000008-960D-42E7-AB36-225974CEF75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Violations per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0C-4083-A954-B40426199E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D0C-4083-A954-B40426199E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D0C-4083-A954-B40426199E9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Analysis!$B$15:$B$17</c:f>
              <c:strCache>
                <c:ptCount val="3"/>
                <c:pt idx="0">
                  <c:v>A</c:v>
                </c:pt>
                <c:pt idx="1">
                  <c:v>AA</c:v>
                </c:pt>
                <c:pt idx="2">
                  <c:v>AAA</c:v>
                </c:pt>
              </c:strCache>
            </c:strRef>
          </c:cat>
          <c:val>
            <c:numRef>
              <c:f>Analysis!$C$15:$C$17</c:f>
              <c:numCache>
                <c:formatCode>General</c:formatCode>
                <c:ptCount val="3"/>
                <c:pt idx="0">
                  <c:v>29</c:v>
                </c:pt>
                <c:pt idx="1">
                  <c:v>16</c:v>
                </c:pt>
                <c:pt idx="2">
                  <c:v>0</c:v>
                </c:pt>
              </c:numCache>
            </c:numRef>
          </c:val>
          <c:extLst>
            <c:ext xmlns:c16="http://schemas.microsoft.com/office/drawing/2014/chart" uri="{C3380CC4-5D6E-409C-BE32-E72D297353CC}">
              <c16:uniqueId val="{00000006-3D0C-4083-A954-B40426199E9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[audit-analysis-template.xlsm]Compliance-pivot-analysis!CompAll</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'Compliance-pivot-analysis'!$B$4:$B$5</c:f>
              <c:strCache>
                <c:ptCount val="1"/>
                <c:pt idx="0">
                  <c:v>faq</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'Compliance-pivot-analysis'!$A$6:$A$20</c:f>
              <c:multiLvlStrCache>
                <c:ptCount val="5"/>
                <c:lvl>
                  <c:pt idx="0">
                    <c:v>2.4.4 - Link purpose (in context) - 9.2.4.4</c:v>
                  </c:pt>
                  <c:pt idx="1">
                    <c:v>1.1.1 - Non-text content - 9.1.1.1</c:v>
                  </c:pt>
                  <c:pt idx="2">
                    <c:v>1.4.3 - Contrast (minimum) - 9.1.4.3</c:v>
                  </c:pt>
                  <c:pt idx="3">
                    <c:v>4.1.2 - Name, role, value - 9.4.1.2</c:v>
                  </c:pt>
                  <c:pt idx="4">
                    <c:v>3.1.1 - Language of page - 9.3.1.1</c:v>
                  </c:pt>
                </c:lvl>
                <c:lvl>
                  <c:pt idx="0">
                    <c:v>2.4</c:v>
                  </c:pt>
                  <c:pt idx="1">
                    <c:v>1.1</c:v>
                  </c:pt>
                  <c:pt idx="2">
                    <c:v>1.4</c:v>
                  </c:pt>
                  <c:pt idx="3">
                    <c:v>4.1</c:v>
                  </c:pt>
                  <c:pt idx="4">
                    <c:v>3.1</c:v>
                  </c:pt>
                </c:lvl>
                <c:lvl>
                  <c:pt idx="0">
                    <c:v>Operable</c:v>
                  </c:pt>
                  <c:pt idx="1">
                    <c:v>Perceivable</c:v>
                  </c:pt>
                  <c:pt idx="3">
                    <c:v>Robust</c:v>
                  </c:pt>
                  <c:pt idx="4">
                    <c:v>Understandable</c:v>
                  </c:pt>
                </c:lvl>
              </c:multiLvlStrCache>
            </c:multiLvlStrRef>
          </c:cat>
          <c:val>
            <c:numRef>
              <c:f>'Compliance-pivot-analysis'!$B$6:$B$20</c:f>
              <c:numCache>
                <c:formatCode>General</c:formatCode>
                <c:ptCount val="5"/>
                <c:pt idx="0">
                  <c:v>2</c:v>
                </c:pt>
                <c:pt idx="1">
                  <c:v>3</c:v>
                </c:pt>
                <c:pt idx="2">
                  <c:v>7</c:v>
                </c:pt>
                <c:pt idx="3">
                  <c:v>2</c:v>
                </c:pt>
                <c:pt idx="4">
                  <c:v>1</c:v>
                </c:pt>
              </c:numCache>
            </c:numRef>
          </c:val>
          <c:extLst>
            <c:ext xmlns:c16="http://schemas.microsoft.com/office/drawing/2014/chart" uri="{C3380CC4-5D6E-409C-BE32-E72D297353CC}">
              <c16:uniqueId val="{00000000-0681-4631-A28D-6F0A48200B14}"/>
            </c:ext>
          </c:extLst>
        </c:ser>
        <c:ser>
          <c:idx val="1"/>
          <c:order val="1"/>
          <c:tx>
            <c:strRef>
              <c:f>'Compliance-pivot-analysis'!$C$4:$C$5</c:f>
              <c:strCache>
                <c:ptCount val="1"/>
                <c:pt idx="0">
                  <c:v>home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'Compliance-pivot-analysis'!$A$6:$A$20</c:f>
              <c:multiLvlStrCache>
                <c:ptCount val="5"/>
                <c:lvl>
                  <c:pt idx="0">
                    <c:v>2.4.4 - Link purpose (in context) - 9.2.4.4</c:v>
                  </c:pt>
                  <c:pt idx="1">
                    <c:v>1.1.1 - Non-text content - 9.1.1.1</c:v>
                  </c:pt>
                  <c:pt idx="2">
                    <c:v>1.4.3 - Contrast (minimum) - 9.1.4.3</c:v>
                  </c:pt>
                  <c:pt idx="3">
                    <c:v>4.1.2 - Name, role, value - 9.4.1.2</c:v>
                  </c:pt>
                  <c:pt idx="4">
                    <c:v>3.1.1 - Language of page - 9.3.1.1</c:v>
                  </c:pt>
                </c:lvl>
                <c:lvl>
                  <c:pt idx="0">
                    <c:v>2.4</c:v>
                  </c:pt>
                  <c:pt idx="1">
                    <c:v>1.1</c:v>
                  </c:pt>
                  <c:pt idx="2">
                    <c:v>1.4</c:v>
                  </c:pt>
                  <c:pt idx="3">
                    <c:v>4.1</c:v>
                  </c:pt>
                  <c:pt idx="4">
                    <c:v>3.1</c:v>
                  </c:pt>
                </c:lvl>
                <c:lvl>
                  <c:pt idx="0">
                    <c:v>Operable</c:v>
                  </c:pt>
                  <c:pt idx="1">
                    <c:v>Perceivable</c:v>
                  </c:pt>
                  <c:pt idx="3">
                    <c:v>Robust</c:v>
                  </c:pt>
                  <c:pt idx="4">
                    <c:v>Understandable</c:v>
                  </c:pt>
                </c:lvl>
              </c:multiLvlStrCache>
            </c:multiLvlStrRef>
          </c:cat>
          <c:val>
            <c:numRef>
              <c:f>'Compliance-pivot-analysis'!$C$6:$C$20</c:f>
              <c:numCache>
                <c:formatCode>General</c:formatCode>
                <c:ptCount val="5"/>
                <c:pt idx="0">
                  <c:v>2</c:v>
                </c:pt>
                <c:pt idx="1">
                  <c:v>3</c:v>
                </c:pt>
                <c:pt idx="2">
                  <c:v>5</c:v>
                </c:pt>
                <c:pt idx="3">
                  <c:v>2</c:v>
                </c:pt>
                <c:pt idx="4">
                  <c:v>1</c:v>
                </c:pt>
              </c:numCache>
            </c:numRef>
          </c:val>
          <c:extLst>
            <c:ext xmlns:c16="http://schemas.microsoft.com/office/drawing/2014/chart" uri="{C3380CC4-5D6E-409C-BE32-E72D297353CC}">
              <c16:uniqueId val="{00000000-4D74-4C5A-9225-FDC9F8748B12}"/>
            </c:ext>
          </c:extLst>
        </c:ser>
        <c:ser>
          <c:idx val="2"/>
          <c:order val="2"/>
          <c:tx>
            <c:strRef>
              <c:f>'Compliance-pivot-analysis'!$D$4:$D$5</c:f>
              <c:strCache>
                <c:ptCount val="1"/>
                <c:pt idx="0">
                  <c:v>login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'Compliance-pivot-analysis'!$A$6:$A$20</c:f>
              <c:multiLvlStrCache>
                <c:ptCount val="5"/>
                <c:lvl>
                  <c:pt idx="0">
                    <c:v>2.4.4 - Link purpose (in context) - 9.2.4.4</c:v>
                  </c:pt>
                  <c:pt idx="1">
                    <c:v>1.1.1 - Non-text content - 9.1.1.1</c:v>
                  </c:pt>
                  <c:pt idx="2">
                    <c:v>1.4.3 - Contrast (minimum) - 9.1.4.3</c:v>
                  </c:pt>
                  <c:pt idx="3">
                    <c:v>4.1.2 - Name, role, value - 9.4.1.2</c:v>
                  </c:pt>
                  <c:pt idx="4">
                    <c:v>3.1.1 - Language of page - 9.3.1.1</c:v>
                  </c:pt>
                </c:lvl>
                <c:lvl>
                  <c:pt idx="0">
                    <c:v>2.4</c:v>
                  </c:pt>
                  <c:pt idx="1">
                    <c:v>1.1</c:v>
                  </c:pt>
                  <c:pt idx="2">
                    <c:v>1.4</c:v>
                  </c:pt>
                  <c:pt idx="3">
                    <c:v>4.1</c:v>
                  </c:pt>
                  <c:pt idx="4">
                    <c:v>3.1</c:v>
                  </c:pt>
                </c:lvl>
                <c:lvl>
                  <c:pt idx="0">
                    <c:v>Operable</c:v>
                  </c:pt>
                  <c:pt idx="1">
                    <c:v>Perceivable</c:v>
                  </c:pt>
                  <c:pt idx="3">
                    <c:v>Robust</c:v>
                  </c:pt>
                  <c:pt idx="4">
                    <c:v>Understandable</c:v>
                  </c:pt>
                </c:lvl>
              </c:multiLvlStrCache>
            </c:multiLvlStrRef>
          </c:cat>
          <c:val>
            <c:numRef>
              <c:f>'Compliance-pivot-analysis'!$D$6:$D$20</c:f>
              <c:numCache>
                <c:formatCode>General</c:formatCode>
                <c:ptCount val="5"/>
                <c:pt idx="0">
                  <c:v>3</c:v>
                </c:pt>
                <c:pt idx="1">
                  <c:v>3</c:v>
                </c:pt>
                <c:pt idx="2">
                  <c:v>4</c:v>
                </c:pt>
                <c:pt idx="3">
                  <c:v>6</c:v>
                </c:pt>
                <c:pt idx="4">
                  <c:v>1</c:v>
                </c:pt>
              </c:numCache>
            </c:numRef>
          </c:val>
          <c:extLst>
            <c:ext xmlns:c16="http://schemas.microsoft.com/office/drawing/2014/chart" uri="{C3380CC4-5D6E-409C-BE32-E72D297353CC}">
              <c16:uniqueId val="{00000001-4D74-4C5A-9225-FDC9F8748B12}"/>
            </c:ext>
          </c:extLst>
        </c:ser>
        <c:dLbls>
          <c:dLblPos val="outEnd"/>
          <c:showLegendKey val="0"/>
          <c:showVal val="1"/>
          <c:showCatName val="0"/>
          <c:showSerName val="0"/>
          <c:showPercent val="0"/>
          <c:showBubbleSize val="0"/>
        </c:dLbls>
        <c:gapWidth val="182"/>
        <c:axId val="820012367"/>
        <c:axId val="820010927"/>
      </c:barChart>
      <c:catAx>
        <c:axId val="82001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010927"/>
        <c:crosses val="autoZero"/>
        <c:auto val="1"/>
        <c:lblAlgn val="ctr"/>
        <c:lblOffset val="100"/>
        <c:noMultiLvlLbl val="0"/>
      </c:catAx>
      <c:valAx>
        <c:axId val="8200109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012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[audit-analysis-template.xlsm]Compliance-pivot-analysis!CompPerPage</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 page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'Compliance-pivot-analysis'!$B$101</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'Compliance-pivot-analysis'!$A$102:$A$105</c:f>
              <c:strCache>
                <c:ptCount val="3"/>
                <c:pt idx="0">
                  <c:v>faq</c:v>
                </c:pt>
                <c:pt idx="1">
                  <c:v>home</c:v>
                </c:pt>
                <c:pt idx="2">
                  <c:v>login</c:v>
                </c:pt>
              </c:strCache>
            </c:strRef>
          </c:cat>
          <c:val>
            <c:numRef>
              <c:f>'Compliance-pivot-analysis'!$B$102:$B$105</c:f>
              <c:numCache>
                <c:formatCode>General</c:formatCode>
                <c:ptCount val="3"/>
                <c:pt idx="0">
                  <c:v>15</c:v>
                </c:pt>
                <c:pt idx="1">
                  <c:v>13</c:v>
                </c:pt>
                <c:pt idx="2">
                  <c:v>17</c:v>
                </c:pt>
              </c:numCache>
            </c:numRef>
          </c:val>
          <c:extLst>
            <c:ext xmlns:c16="http://schemas.microsoft.com/office/drawing/2014/chart" uri="{C3380CC4-5D6E-409C-BE32-E72D297353CC}">
              <c16:uniqueId val="{00000003-1630-4D4B-AD80-38ABFEF60EFB}"/>
            </c:ext>
          </c:extLst>
        </c:ser>
        <c:dLbls>
          <c:dLblPos val="outEnd"/>
          <c:showLegendKey val="0"/>
          <c:showVal val="1"/>
          <c:showCatName val="0"/>
          <c:showSerName val="0"/>
          <c:showPercent val="0"/>
          <c:showBubbleSize val="0"/>
        </c:dLbls>
        <c:gapWidth val="150"/>
        <c:axId val="1435001215"/>
        <c:axId val="820011887"/>
      </c:barChart>
      <c:catAx>
        <c:axId val="1435001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011887"/>
        <c:crosses val="autoZero"/>
        <c:auto val="1"/>
        <c:lblAlgn val="ctr"/>
        <c:lblOffset val="100"/>
        <c:noMultiLvlLbl val="0"/>
      </c:catAx>
      <c:valAx>
        <c:axId val="820011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01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 Guideline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Analysis!$H$5</c:f>
              <c:strCache>
                <c:ptCount val="1"/>
                <c:pt idx="0">
                  <c:v>Violations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Analysis!$G$6:$G$18</c:f>
              <c:strCache>
                <c:ptCount val="13"/>
                <c:pt idx="0">
                  <c:v>1.1 - Text Alternatives</c:v>
                </c:pt>
                <c:pt idx="1">
                  <c:v>1.2 - Time-based Media</c:v>
                </c:pt>
                <c:pt idx="2">
                  <c:v>1.3 - Adaptable</c:v>
                </c:pt>
                <c:pt idx="3">
                  <c:v>1.4 - Distinguishable</c:v>
                </c:pt>
                <c:pt idx="4">
                  <c:v>2.1 - Keyboard Accessible</c:v>
                </c:pt>
                <c:pt idx="5">
                  <c:v>2.2 - Enough Time</c:v>
                </c:pt>
                <c:pt idx="6">
                  <c:v>2.3 - Seizures and Physical Reactions</c:v>
                </c:pt>
                <c:pt idx="7">
                  <c:v>2.4 - Navigable</c:v>
                </c:pt>
                <c:pt idx="8">
                  <c:v>2.5 - Input Modalities</c:v>
                </c:pt>
                <c:pt idx="9">
                  <c:v>3.1 - Readable</c:v>
                </c:pt>
                <c:pt idx="10">
                  <c:v>3.2 - Predictable</c:v>
                </c:pt>
                <c:pt idx="11">
                  <c:v>3.3 - Input Assistance</c:v>
                </c:pt>
                <c:pt idx="12">
                  <c:v>4.1 - Compatible</c:v>
                </c:pt>
              </c:strCache>
            </c:strRef>
          </c:cat>
          <c:val>
            <c:numRef>
              <c:f>Analysis!$H$6:$H$18</c:f>
              <c:numCache>
                <c:formatCode>General</c:formatCode>
                <c:ptCount val="13"/>
                <c:pt idx="0">
                  <c:v>9</c:v>
                </c:pt>
                <c:pt idx="1">
                  <c:v>0</c:v>
                </c:pt>
                <c:pt idx="2">
                  <c:v>0</c:v>
                </c:pt>
                <c:pt idx="3">
                  <c:v>16</c:v>
                </c:pt>
                <c:pt idx="4">
                  <c:v>0</c:v>
                </c:pt>
                <c:pt idx="5">
                  <c:v>0</c:v>
                </c:pt>
                <c:pt idx="6">
                  <c:v>0</c:v>
                </c:pt>
                <c:pt idx="7">
                  <c:v>7</c:v>
                </c:pt>
                <c:pt idx="8">
                  <c:v>0</c:v>
                </c:pt>
                <c:pt idx="9">
                  <c:v>3</c:v>
                </c:pt>
                <c:pt idx="10">
                  <c:v>0</c:v>
                </c:pt>
                <c:pt idx="11">
                  <c:v>0</c:v>
                </c:pt>
                <c:pt idx="12">
                  <c:v>10</c:v>
                </c:pt>
              </c:numCache>
            </c:numRef>
          </c:val>
          <c:extLst>
            <c:ext xmlns:c16="http://schemas.microsoft.com/office/drawing/2014/chart" uri="{C3380CC4-5D6E-409C-BE32-E72D297353CC}">
              <c16:uniqueId val="{00000000-9633-44CA-B381-7F5D8CE00003}"/>
            </c:ext>
          </c:extLst>
        </c:ser>
        <c:dLbls>
          <c:dLblPos val="outEnd"/>
          <c:showLegendKey val="0"/>
          <c:showVal val="1"/>
          <c:showCatName val="0"/>
          <c:showSerName val="0"/>
          <c:showPercent val="0"/>
          <c:showBubbleSize val="0"/>
        </c:dLbls>
        <c:gapWidth val="182"/>
        <c:axId val="88224032"/>
        <c:axId val="88216832"/>
      </c:barChart>
      <c:catAx>
        <c:axId val="88224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16832"/>
        <c:crosses val="autoZero"/>
        <c:auto val="1"/>
        <c:lblAlgn val="ctr"/>
        <c:lblOffset val="100"/>
        <c:noMultiLvlLbl val="0"/>
      </c:catAx>
      <c:valAx>
        <c:axId val="88216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24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[audit-analysis-template.xlsm]Compliance-pivot-analysis!CompPageCriterion</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Criterions</a:t>
            </a:r>
            <a:r>
              <a:rPr lang="en-US" baseline="0"/>
              <a:t> per page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'Compliance-pivot-analysis'!$E$101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'Compliance-pivot-analysis'!$D$102:$D$120</c:f>
              <c:multiLvlStrCache>
                <c:ptCount val="15"/>
                <c:lvl>
                  <c:pt idx="0">
                    <c:v>1.1.1</c:v>
                  </c:pt>
                  <c:pt idx="1">
                    <c:v>1.4.3</c:v>
                  </c:pt>
                  <c:pt idx="2">
                    <c:v>2.4.4</c:v>
                  </c:pt>
                  <c:pt idx="3">
                    <c:v>3.1.1</c:v>
                  </c:pt>
                  <c:pt idx="4">
                    <c:v>4.1.2</c:v>
                  </c:pt>
                  <c:pt idx="5">
                    <c:v>1.1.1</c:v>
                  </c:pt>
                  <c:pt idx="6">
                    <c:v>1.4.3</c:v>
                  </c:pt>
                  <c:pt idx="7">
                    <c:v>2.4.4</c:v>
                  </c:pt>
                  <c:pt idx="8">
                    <c:v>3.1.1</c:v>
                  </c:pt>
                  <c:pt idx="9">
                    <c:v>4.1.2</c:v>
                  </c:pt>
                  <c:pt idx="10">
                    <c:v>1.1.1</c:v>
                  </c:pt>
                  <c:pt idx="11">
                    <c:v>1.4.3</c:v>
                  </c:pt>
                  <c:pt idx="12">
                    <c:v>2.4.4</c:v>
                  </c:pt>
                  <c:pt idx="13">
                    <c:v>3.1.1</c:v>
                  </c:pt>
                  <c:pt idx="14">
                    <c:v>4.1.2</c:v>
                  </c:pt>
                </c:lvl>
                <c:lvl>
                  <c:pt idx="0">
                    <c:v>faq</c:v>
                  </c:pt>
                  <c:pt idx="5">
                    <c:v>home</c:v>
                  </c:pt>
                  <c:pt idx="10">
                    <c:v>login</c:v>
                  </c:pt>
                </c:lvl>
              </c:multiLvlStrCache>
            </c:multiLvlStrRef>
          </c:cat>
          <c:val>
            <c:numRef>
              <c:f>'Compliance-pivot-analysis'!$E$102:$E$120</c:f>
              <c:numCache>
                <c:formatCode>General</c:formatCode>
                <c:ptCount val="15"/>
                <c:pt idx="0">
                  <c:v>3</c:v>
                </c:pt>
                <c:pt idx="1">
                  <c:v>7</c:v>
                </c:pt>
                <c:pt idx="2">
                  <c:v>2</c:v>
                </c:pt>
                <c:pt idx="3">
                  <c:v>1</c:v>
                </c:pt>
                <c:pt idx="4">
                  <c:v>2</c:v>
                </c:pt>
                <c:pt idx="5">
                  <c:v>3</c:v>
                </c:pt>
                <c:pt idx="6">
                  <c:v>5</c:v>
                </c:pt>
                <c:pt idx="7">
                  <c:v>2</c:v>
                </c:pt>
                <c:pt idx="8">
                  <c:v>1</c:v>
                </c:pt>
                <c:pt idx="9">
                  <c:v>2</c:v>
                </c:pt>
                <c:pt idx="10">
                  <c:v>3</c:v>
                </c:pt>
                <c:pt idx="11">
                  <c:v>4</c:v>
                </c:pt>
                <c:pt idx="12">
                  <c:v>3</c:v>
                </c:pt>
                <c:pt idx="13">
                  <c:v>1</c:v>
                </c:pt>
                <c:pt idx="14">
                  <c:v>6</c:v>
                </c:pt>
              </c:numCache>
            </c:numRef>
          </c:val>
          <c:extLst>
            <c:ext xmlns:c16="http://schemas.microsoft.com/office/drawing/2014/chart" uri="{C3380CC4-5D6E-409C-BE32-E72D297353CC}">
              <c16:uniqueId val="{00000003-4C4D-47F0-B507-2720445ED660}"/>
            </c:ext>
          </c:extLst>
        </c:ser>
        <c:dLbls>
          <c:dLblPos val="outEnd"/>
          <c:showLegendKey val="0"/>
          <c:showVal val="1"/>
          <c:showCatName val="0"/>
          <c:showSerName val="0"/>
          <c:showPercent val="0"/>
          <c:showBubbleSize val="0"/>
        </c:dLbls>
        <c:gapWidth val="182"/>
        <c:axId val="985448208"/>
        <c:axId val="985444368"/>
      </c:barChart>
      <c:catAx>
        <c:axId val="985448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444368"/>
        <c:crosses val="autoZero"/>
        <c:auto val="1"/>
        <c:lblAlgn val="ctr"/>
        <c:lblOffset val="100"/>
        <c:noMultiLvlLbl val="0"/>
      </c:catAx>
      <c:valAx>
        <c:axId val="985444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5448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Violations Per criterion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Analysis!$I$22</c:f>
              <c:strCache>
                <c:ptCount val="1"/>
                <c:pt idx="0">
                  <c:v>Violations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86-4396-A476-BE54C41F23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86-4396-A476-BE54C41F23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86-4396-A476-BE54C41F23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86-4396-A476-BE54C41F23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486-4396-A476-BE54C41F23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486-4396-A476-BE54C41F234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486-4396-A476-BE54C41F234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486-4396-A476-BE54C41F234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486-4396-A476-BE54C41F234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486-4396-A476-BE54C41F234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486-4396-A476-BE54C41F234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486-4396-A476-BE54C41F234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B486-4396-A476-BE54C41F234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B486-4396-A476-BE54C41F234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B486-4396-A476-BE54C41F234E}"/>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B486-4396-A476-BE54C41F234E}"/>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B486-4396-A476-BE54C41F234E}"/>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B486-4396-A476-BE54C41F234E}"/>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B486-4396-A476-BE54C41F234E}"/>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B486-4396-A476-BE54C41F234E}"/>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B486-4396-A476-BE54C41F234E}"/>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B486-4396-A476-BE54C41F234E}"/>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B486-4396-A476-BE54C41F234E}"/>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B486-4396-A476-BE54C41F234E}"/>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B486-4396-A476-BE54C41F234E}"/>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B486-4396-A476-BE54C41F234E}"/>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B486-4396-A476-BE54C41F234E}"/>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B486-4396-A476-BE54C41F234E}"/>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B486-4396-A476-BE54C41F234E}"/>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B486-4396-A476-BE54C41F234E}"/>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B486-4396-A476-BE54C41F234E}"/>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B486-4396-A476-BE54C41F234E}"/>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B486-4396-A476-BE54C41F234E}"/>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B486-4396-A476-BE54C41F234E}"/>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B486-4396-A476-BE54C41F234E}"/>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B486-4396-A476-BE54C41F234E}"/>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B486-4396-A476-BE54C41F234E}"/>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B486-4396-A476-BE54C41F234E}"/>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B486-4396-A476-BE54C41F234E}"/>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B486-4396-A476-BE54C41F234E}"/>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B486-4396-A476-BE54C41F234E}"/>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B486-4396-A476-BE54C41F234E}"/>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B486-4396-A476-BE54C41F234E}"/>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B486-4396-A476-BE54C41F234E}"/>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B486-4396-A476-BE54C41F234E}"/>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B486-4396-A476-BE54C41F234E}"/>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B486-4396-A476-BE54C41F234E}"/>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B486-4396-A476-BE54C41F234E}"/>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B486-4396-A476-BE54C41F234E}"/>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B486-4396-A476-BE54C41F234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Analysis!$G$23:$G$72</c:f>
              <c:strCache>
                <c:ptCount val="50"/>
                <c:pt idx="0">
                  <c:v>1.1.1 - Non-text content - 9.1.1.1</c:v>
                </c:pt>
                <c:pt idx="1">
                  <c:v>1.2.1 - Audio-only and video-only (pre-recorded) - 9.1.2.1</c:v>
                </c:pt>
                <c:pt idx="2">
                  <c:v>1.2.2 - Captions (pre-recorded) - 9.1.2.2</c:v>
                </c:pt>
                <c:pt idx="3">
                  <c:v>1.2.3 - Audio description or media alternative (pre-recorded) - 9.1.2.3</c:v>
                </c:pt>
                <c:pt idx="4">
                  <c:v>1.2.4 - Captions (Live) - 9.1.2.4</c:v>
                </c:pt>
                <c:pt idx="5">
                  <c:v>1.2.5 - Audio description or media alternative (pre-recorded) - 9.1.2.5</c:v>
                </c:pt>
                <c:pt idx="6">
                  <c:v>1.3.1 - Info and relationships - 9.1.3.1</c:v>
                </c:pt>
                <c:pt idx="7">
                  <c:v>1.3.2 - Meaningful sequence - 9.1.3.2</c:v>
                </c:pt>
                <c:pt idx="8">
                  <c:v>1.3.3 - Sensory characteristics - 9.1.3.3</c:v>
                </c:pt>
                <c:pt idx="9">
                  <c:v>1.3.4 - Orientation - 9.1.3.4</c:v>
                </c:pt>
                <c:pt idx="10">
                  <c:v>1.3.5 - Identify input purpose - 9.1.3.5</c:v>
                </c:pt>
                <c:pt idx="11">
                  <c:v>1.4.1 - Use of colour - 9.1.4.1</c:v>
                </c:pt>
                <c:pt idx="12">
                  <c:v>1.4.2 - Audio control - 9.1.4.2</c:v>
                </c:pt>
                <c:pt idx="13">
                  <c:v>1.4.3 - Contrast (minimum) - 9.1.4.3</c:v>
                </c:pt>
                <c:pt idx="14">
                  <c:v>1.4.4 - Resize text - 9.1.4.4</c:v>
                </c:pt>
                <c:pt idx="15">
                  <c:v>1.4.5 - Images of text - 9.1.4.5</c:v>
                </c:pt>
                <c:pt idx="16">
                  <c:v>1.4.10 - Reflow - 9.1.4.10</c:v>
                </c:pt>
                <c:pt idx="17">
                  <c:v>1.4.11 - Non-text contrast - 9.1.4.11</c:v>
                </c:pt>
                <c:pt idx="18">
                  <c:v>1.4.12 - Text spacing - 9.1.4.12</c:v>
                </c:pt>
                <c:pt idx="19">
                  <c:v>1.4.13 - Content on hover or focus - 9.1.4.13</c:v>
                </c:pt>
                <c:pt idx="20">
                  <c:v>2.1.1 - Keyboard - 9.2.1.1</c:v>
                </c:pt>
                <c:pt idx="21">
                  <c:v>2.1.2 - No keyboard trap - 9.2.1.2</c:v>
                </c:pt>
                <c:pt idx="22">
                  <c:v>2.1.4 - Character key shortcuts - 9.2.1.4</c:v>
                </c:pt>
                <c:pt idx="23">
                  <c:v>2.2.1 - Timing adjustable - 9.2.2.1</c:v>
                </c:pt>
                <c:pt idx="24">
                  <c:v>2.2.2 - Pause, stop, hide - 9.2.2.2</c:v>
                </c:pt>
                <c:pt idx="25">
                  <c:v>2.3.1 - Three flashes or below threshold - 9.2.3.1</c:v>
                </c:pt>
                <c:pt idx="26">
                  <c:v>2.4.1 - Bypass blocks - 9.2.4.1</c:v>
                </c:pt>
                <c:pt idx="27">
                  <c:v>2.4.2 - Page titled - 9.2.4.2</c:v>
                </c:pt>
                <c:pt idx="28">
                  <c:v>2.4.3 - Focus order - 9.2.4.3</c:v>
                </c:pt>
                <c:pt idx="29">
                  <c:v>2.4.4 - Link purpose (in context) - 9.2.4.4</c:v>
                </c:pt>
                <c:pt idx="30">
                  <c:v>2.4.5 - Multiple ways - 9.2.4.5</c:v>
                </c:pt>
                <c:pt idx="31">
                  <c:v>2.4.6 - Headings and labels - 9.2.4.6</c:v>
                </c:pt>
                <c:pt idx="32">
                  <c:v>2.4.7 - Focus visible - 9.2.4.7</c:v>
                </c:pt>
                <c:pt idx="33">
                  <c:v>2.5.1 - Pointer gestures - 9.2.5.1</c:v>
                </c:pt>
                <c:pt idx="34">
                  <c:v>2.5.2 - Pointer cancellation - 9.2.5.2</c:v>
                </c:pt>
                <c:pt idx="35">
                  <c:v>2.5.3 - Label in name - 9.2.5.3</c:v>
                </c:pt>
                <c:pt idx="36">
                  <c:v>2.5.4 - Motion actuation - 9.2.5.4</c:v>
                </c:pt>
                <c:pt idx="37">
                  <c:v>3.1.1 - Language of page - 9.3.1.1</c:v>
                </c:pt>
                <c:pt idx="38">
                  <c:v>3.1.2 - Language of parts - 9.3.1.2</c:v>
                </c:pt>
                <c:pt idx="39">
                  <c:v>3.2.1 - On focus - 9.3.2.1</c:v>
                </c:pt>
                <c:pt idx="40">
                  <c:v>3.2.2 - On input - 9.3.2.2</c:v>
                </c:pt>
                <c:pt idx="41">
                  <c:v>3.2.3 - Consistent navigation - 9.3.2.3</c:v>
                </c:pt>
                <c:pt idx="42">
                  <c:v>3.2.4 - Consistent identification - 9.3.2.4</c:v>
                </c:pt>
                <c:pt idx="43">
                  <c:v>3.3.1 - Error identification - 9.3.3.1</c:v>
                </c:pt>
                <c:pt idx="44">
                  <c:v>3.3.2 - Labels or instructions - 9.3.3.2</c:v>
                </c:pt>
                <c:pt idx="45">
                  <c:v>3.3.3 - Error suggestion - 9.3.3.3</c:v>
                </c:pt>
                <c:pt idx="46">
                  <c:v>3.3.4 - Error prevention (legal, financial, data) - 9.3.3.4</c:v>
                </c:pt>
                <c:pt idx="47">
                  <c:v>4.1.1 - Parsing - 9.4.1.1</c:v>
                </c:pt>
                <c:pt idx="48">
                  <c:v>4.1.2 - Name, role, value - 9.4.1.2</c:v>
                </c:pt>
                <c:pt idx="49">
                  <c:v>4.1.3 - Status messages - 9.4.1.3</c:v>
                </c:pt>
              </c:strCache>
            </c:strRef>
          </c:cat>
          <c:val>
            <c:numRef>
              <c:f>Analysis!$I$23:$I$72</c:f>
              <c:numCache>
                <c:formatCode>General</c:formatCode>
                <c:ptCount val="50"/>
                <c:pt idx="0">
                  <c:v>9</c:v>
                </c:pt>
                <c:pt idx="1">
                  <c:v>#N/A</c:v>
                </c:pt>
                <c:pt idx="2">
                  <c:v>#N/A</c:v>
                </c:pt>
                <c:pt idx="3">
                  <c:v>#N/A</c:v>
                </c:pt>
                <c:pt idx="4">
                  <c:v>#N/A</c:v>
                </c:pt>
                <c:pt idx="5">
                  <c:v>#N/A</c:v>
                </c:pt>
                <c:pt idx="6">
                  <c:v>#N/A</c:v>
                </c:pt>
                <c:pt idx="7">
                  <c:v>#N/A</c:v>
                </c:pt>
                <c:pt idx="8">
                  <c:v>#N/A</c:v>
                </c:pt>
                <c:pt idx="9">
                  <c:v>#N/A</c:v>
                </c:pt>
                <c:pt idx="10">
                  <c:v>#N/A</c:v>
                </c:pt>
                <c:pt idx="11">
                  <c:v>#N/A</c:v>
                </c:pt>
                <c:pt idx="12">
                  <c:v>#N/A</c:v>
                </c:pt>
                <c:pt idx="13">
                  <c:v>16</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7</c:v>
                </c:pt>
                <c:pt idx="30">
                  <c:v>#N/A</c:v>
                </c:pt>
                <c:pt idx="31">
                  <c:v>#N/A</c:v>
                </c:pt>
                <c:pt idx="32">
                  <c:v>#N/A</c:v>
                </c:pt>
                <c:pt idx="33">
                  <c:v>#N/A</c:v>
                </c:pt>
                <c:pt idx="34">
                  <c:v>#N/A</c:v>
                </c:pt>
                <c:pt idx="35">
                  <c:v>#N/A</c:v>
                </c:pt>
                <c:pt idx="36">
                  <c:v>#N/A</c:v>
                </c:pt>
                <c:pt idx="37">
                  <c:v>3</c:v>
                </c:pt>
                <c:pt idx="38">
                  <c:v>#N/A</c:v>
                </c:pt>
                <c:pt idx="39">
                  <c:v>#N/A</c:v>
                </c:pt>
                <c:pt idx="40">
                  <c:v>#N/A</c:v>
                </c:pt>
                <c:pt idx="41">
                  <c:v>#N/A</c:v>
                </c:pt>
                <c:pt idx="42">
                  <c:v>#N/A</c:v>
                </c:pt>
                <c:pt idx="43">
                  <c:v>#N/A</c:v>
                </c:pt>
                <c:pt idx="44">
                  <c:v>#N/A</c:v>
                </c:pt>
                <c:pt idx="45">
                  <c:v>#N/A</c:v>
                </c:pt>
                <c:pt idx="46">
                  <c:v>#N/A</c:v>
                </c:pt>
                <c:pt idx="47">
                  <c:v>#N/A</c:v>
                </c:pt>
                <c:pt idx="48">
                  <c:v>10</c:v>
                </c:pt>
                <c:pt idx="49">
                  <c:v>#N/A</c:v>
                </c:pt>
              </c:numCache>
            </c:numRef>
          </c:val>
          <c:extLst>
            <c:ext xmlns:c16="http://schemas.microsoft.com/office/drawing/2014/chart" uri="{C3380CC4-5D6E-409C-BE32-E72D297353CC}">
              <c16:uniqueId val="{00000064-B486-4396-A476-BE54C41F234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Analysis!$B$6:$B$9</c:f>
              <c:strCache>
                <c:ptCount val="4"/>
                <c:pt idx="0">
                  <c:v>Perceivable</c:v>
                </c:pt>
                <c:pt idx="1">
                  <c:v>Operable</c:v>
                </c:pt>
                <c:pt idx="2">
                  <c:v>Understandable</c:v>
                </c:pt>
                <c:pt idx="3">
                  <c:v>Robust</c:v>
                </c:pt>
              </c:strCache>
            </c:strRef>
          </c:cat>
          <c:val>
            <c:numRef>
              <c:f>Analysis!$C$6:$C$9</c:f>
              <c:numCache>
                <c:formatCode>General</c:formatCode>
                <c:ptCount val="4"/>
                <c:pt idx="0">
                  <c:v>25</c:v>
                </c:pt>
                <c:pt idx="1">
                  <c:v>7</c:v>
                </c:pt>
                <c:pt idx="2">
                  <c:v>3</c:v>
                </c:pt>
                <c:pt idx="3">
                  <c:v>10</c:v>
                </c:pt>
              </c:numCache>
            </c:numRef>
          </c:val>
          <c:extLst>
            <c:ext xmlns:c16="http://schemas.microsoft.com/office/drawing/2014/chart" uri="{C3380CC4-5D6E-409C-BE32-E72D297353CC}">
              <c16:uniqueId val="{00000000-0155-4370-B155-D729E7A3E45A}"/>
            </c:ext>
          </c:extLst>
        </c:ser>
        <c:dLbls>
          <c:showLegendKey val="0"/>
          <c:showVal val="0"/>
          <c:showCatName val="0"/>
          <c:showSerName val="0"/>
          <c:showPercent val="0"/>
          <c:showBubbleSize val="0"/>
        </c:dLbls>
        <c:gapWidth val="80"/>
        <c:overlap val="25"/>
        <c:axId val="820012847"/>
        <c:axId val="820008527"/>
      </c:barChart>
      <c:catAx>
        <c:axId val="820012847"/>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820008527"/>
        <c:crosses val="autoZero"/>
        <c:auto val="1"/>
        <c:lblAlgn val="ctr"/>
        <c:lblOffset val="100"/>
        <c:noMultiLvlLbl val="0"/>
      </c:catAx>
      <c:valAx>
        <c:axId val="820008527"/>
        <c:scaling>
          <c:orientation val="minMax"/>
        </c:scaling>
        <c:delete val="1"/>
        <c:axPos val="l"/>
        <c:numFmt formatCode="General" sourceLinked="1"/>
        <c:majorTickMark val="out"/>
        <c:minorTickMark val="none"/>
        <c:tickLblPos val="nextTo"/>
        <c:crossAx val="820012847"/>
        <c:crosses val="autoZero"/>
        <c:crossBetween val="between"/>
      </c:valAx>
      <c:spPr>
        <a:noFill/>
        <a:ln w="25400">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[audit-analysis-template.xlsm]Non-compliance-pivot-analysis!NonComp</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'Non-compliance-pivot-analysis'!$B$3:$B$4</c:f>
              <c:strCache>
                <c:ptCount val="1"/>
                <c:pt idx="0">
                  <c:v>faq</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'Non-compliance-pivot-analysis'!$A$5:$A$11</c:f>
              <c:multiLvlStrCache>
                <c:ptCount val="4"/>
                <c:lvl>
                  <c:pt idx="0">
                    <c:v>aria-dialog-name</c:v>
                  </c:pt>
                  <c:pt idx="1">
                    <c:v>heading-order</c:v>
                  </c:pt>
                  <c:pt idx="2">
                    <c:v>landmark-unique</c:v>
                  </c:pt>
                  <c:pt idx="3">
                    <c:v>region</c:v>
                  </c:pt>
                </c:lvl>
                <c:lvl>
                  <c:pt idx="0">
                    <c:v>high</c:v>
                  </c:pt>
                  <c:pt idx="1">
                    <c:v>medium</c:v>
                  </c:pt>
                </c:lvl>
              </c:multiLvlStrCache>
            </c:multiLvlStrRef>
          </c:cat>
          <c:val>
            <c:numRef>
              <c:f>'Non-compliance-pivot-analysis'!$B$5:$B$11</c:f>
              <c:numCache>
                <c:formatCode>General</c:formatCode>
                <c:ptCount val="4"/>
                <c:pt idx="0">
                  <c:v>1</c:v>
                </c:pt>
                <c:pt idx="1">
                  <c:v>0</c:v>
                </c:pt>
                <c:pt idx="2">
                  <c:v>1</c:v>
                </c:pt>
                <c:pt idx="3">
                  <c:v>6</c:v>
                </c:pt>
              </c:numCache>
            </c:numRef>
          </c:val>
          <c:extLst>
            <c:ext xmlns:c16="http://schemas.microsoft.com/office/drawing/2014/chart" uri="{C3380CC4-5D6E-409C-BE32-E72D297353CC}">
              <c16:uniqueId val="{00000000-0E7C-4C28-9FF6-4BCE1096C6F5}"/>
            </c:ext>
          </c:extLst>
        </c:ser>
        <c:ser>
          <c:idx val="1"/>
          <c:order val="1"/>
          <c:tx>
            <c:strRef>
              <c:f>'Non-compliance-pivot-analysis'!$C$3:$C$4</c:f>
              <c:strCache>
                <c:ptCount val="1"/>
                <c:pt idx="0">
                  <c:v>home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'Non-compliance-pivot-analysis'!$A$5:$A$11</c:f>
              <c:multiLvlStrCache>
                <c:ptCount val="4"/>
                <c:lvl>
                  <c:pt idx="0">
                    <c:v>aria-dialog-name</c:v>
                  </c:pt>
                  <c:pt idx="1">
                    <c:v>heading-order</c:v>
                  </c:pt>
                  <c:pt idx="2">
                    <c:v>landmark-unique</c:v>
                  </c:pt>
                  <c:pt idx="3">
                    <c:v>region</c:v>
                  </c:pt>
                </c:lvl>
                <c:lvl>
                  <c:pt idx="0">
                    <c:v>high</c:v>
                  </c:pt>
                  <c:pt idx="1">
                    <c:v>medium</c:v>
                  </c:pt>
                </c:lvl>
              </c:multiLvlStrCache>
            </c:multiLvlStrRef>
          </c:cat>
          <c:val>
            <c:numRef>
              <c:f>'Non-compliance-pivot-analysis'!$C$5:$C$11</c:f>
              <c:numCache>
                <c:formatCode>General</c:formatCode>
                <c:ptCount val="4"/>
                <c:pt idx="0">
                  <c:v>1</c:v>
                </c:pt>
                <c:pt idx="1">
                  <c:v>1</c:v>
                </c:pt>
                <c:pt idx="2">
                  <c:v>1</c:v>
                </c:pt>
                <c:pt idx="3">
                  <c:v>4</c:v>
                </c:pt>
              </c:numCache>
            </c:numRef>
          </c:val>
          <c:extLst>
            <c:ext xmlns:c16="http://schemas.microsoft.com/office/drawing/2014/chart" uri="{C3380CC4-5D6E-409C-BE32-E72D297353CC}">
              <c16:uniqueId val="{0000000B-0E7C-4C28-9FF6-4BCE1096C6F5}"/>
            </c:ext>
          </c:extLst>
        </c:ser>
        <c:ser>
          <c:idx val="2"/>
          <c:order val="2"/>
          <c:tx>
            <c:strRef>
              <c:f>'Non-compliance-pivot-analysis'!$D$3:$D$4</c:f>
              <c:strCache>
                <c:ptCount val="1"/>
                <c:pt idx="0">
                  <c:v>login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'Non-compliance-pivot-analysis'!$A$5:$A$11</c:f>
              <c:multiLvlStrCache>
                <c:ptCount val="4"/>
                <c:lvl>
                  <c:pt idx="0">
                    <c:v>aria-dialog-name</c:v>
                  </c:pt>
                  <c:pt idx="1">
                    <c:v>heading-order</c:v>
                  </c:pt>
                  <c:pt idx="2">
                    <c:v>landmark-unique</c:v>
                  </c:pt>
                  <c:pt idx="3">
                    <c:v>region</c:v>
                  </c:pt>
                </c:lvl>
                <c:lvl>
                  <c:pt idx="0">
                    <c:v>high</c:v>
                  </c:pt>
                  <c:pt idx="1">
                    <c:v>medium</c:v>
                  </c:pt>
                </c:lvl>
              </c:multiLvlStrCache>
            </c:multiLvlStrRef>
          </c:cat>
          <c:val>
            <c:numRef>
              <c:f>'Non-compliance-pivot-analysis'!$D$5:$D$11</c:f>
              <c:numCache>
                <c:formatCode>General</c:formatCode>
                <c:ptCount val="4"/>
                <c:pt idx="0">
                  <c:v>1</c:v>
                </c:pt>
                <c:pt idx="1">
                  <c:v>0</c:v>
                </c:pt>
                <c:pt idx="2">
                  <c:v>0</c:v>
                </c:pt>
                <c:pt idx="3">
                  <c:v>4</c:v>
                </c:pt>
              </c:numCache>
            </c:numRef>
          </c:val>
          <c:extLst>
            <c:ext xmlns:c16="http://schemas.microsoft.com/office/drawing/2014/chart" uri="{C3380CC4-5D6E-409C-BE32-E72D297353CC}">
              <c16:uniqueId val="{00000000-5CC1-4F05-9514-E220592C06EE}"/>
            </c:ext>
          </c:extLst>
        </c:ser>
        <c:dLbls>
          <c:dLblPos val="outEnd"/>
          <c:showLegendKey val="0"/>
          <c:showVal val="1"/>
          <c:showCatName val="0"/>
          <c:showSerName val="0"/>
          <c:showPercent val="0"/>
          <c:showBubbleSize val="0"/>
        </c:dLbls>
        <c:gapWidth val="182"/>
        <c:axId val="983490720"/>
        <c:axId val="983491680"/>
      </c:barChart>
      <c:catAx>
        <c:axId val="983490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491680"/>
        <c:crosses val="autoZero"/>
        <c:auto val="1"/>
        <c:lblAlgn val="ctr"/>
        <c:lblOffset val="100"/>
        <c:noMultiLvlLbl val="0"/>
      </c:catAx>
      <c:valAx>
        <c:axId val="983491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490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Analysis!$C$36</c:f>
              <c:strCache>
                <c:ptCount val="1"/>
                <c:pt idx="0">
                  <c:v>Violations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Analysis!$B$37:$B$40</c:f>
              <c:strCache>
                <c:ptCount val="4"/>
                <c:pt idx="0">
                  <c:v>critical</c:v>
                </c:pt>
                <c:pt idx="1">
                  <c:v>high</c:v>
                </c:pt>
                <c:pt idx="2">
                  <c:v>medium</c:v>
                </c:pt>
                <c:pt idx="3">
                  <c:v>low</c:v>
                </c:pt>
              </c:strCache>
            </c:strRef>
          </c:cat>
          <c:val>
            <c:numRef>
              <c:f>Analysis!$C$37:$C$40</c:f>
              <c:numCache>
                <c:formatCode>General</c:formatCode>
                <c:ptCount val="4"/>
                <c:pt idx="0">
                  <c:v>0</c:v>
                </c:pt>
                <c:pt idx="1">
                  <c:v>3</c:v>
                </c:pt>
                <c:pt idx="2">
                  <c:v>17</c:v>
                </c:pt>
                <c:pt idx="3">
                  <c:v>0</c:v>
                </c:pt>
              </c:numCache>
            </c:numRef>
          </c:val>
          <c:extLst>
            <c:ext xmlns:c16="http://schemas.microsoft.com/office/drawing/2014/chart" uri="{C3380CC4-5D6E-409C-BE32-E72D297353CC}">
              <c16:uniqueId val="{00000000-C65A-4CC5-AE68-F4635DB9C2B0}"/>
            </c:ext>
          </c:extLst>
        </c:ser>
        <c:dLbls>
          <c:dLblPos val="outEnd"/>
          <c:showLegendKey val="0"/>
          <c:showVal val="1"/>
          <c:showCatName val="0"/>
          <c:showSerName val="0"/>
          <c:showPercent val="0"/>
          <c:showBubbleSize val="0"/>
        </c:dLbls>
        <c:gapWidth val="80"/>
        <c:overlap val="25"/>
        <c:axId val="989501840"/>
        <c:axId val="989505200"/>
      </c:barChart>
      <c:catAx>
        <c:axId val="98950184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989505200"/>
        <c:crosses val="autoZero"/>
        <c:auto val="1"/>
        <c:lblAlgn val="ctr"/>
        <c:lblOffset val="100"/>
        <c:noMultiLvlLbl val="0"/>
      </c:catAx>
      <c:valAx>
        <c:axId val="989505200"/>
        <c:scaling>
          <c:orientation val="minMax"/>
        </c:scaling>
        <c:delete val="1"/>
        <c:axPos val="l"/>
        <c:numFmt formatCode="General" sourceLinked="1"/>
        <c:majorTickMark val="none"/>
        <c:minorTickMark val="none"/>
        <c:tickLblPos val="nextTo"/>
        <c:crossAx val="98950184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[audit-analysis-template.xlsm]Non-compliance-pivot-analysis!NonCompSeverityRule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 Severity and</a:t>
            </a:r>
            <a:r>
              <a:rPr lang="en-US" baseline="0"/>
              <a:t> </a:t>
            </a:r>
            <a:r>
              <a:rPr lang="en-US"/>
              <a:t>Rule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'Non-compliance-pivot-analysis'!$W$3</c:f>
              <c:strCache>
                <c:ptCount val="1"/>
                <c:pt idx="0">
                  <c:v>Total</c:v>
                </c:pt>
              </c:strCache>
            </c:strRef>
          </c:tx>
          <c:spPr>
            <a:solidFill>
              <a:schemeClr val="accent1"/>
            </a:solidFill>
            <a:ln>
              <a:noFill/>
            </a:ln>
            <a:effectLst/>
          </c:spPr>
          <c:invertIfNegative val="0"/>
          <c:cat>
            <c:multiLvlStrRef>
              <c:f>'Non-compliance-pivot-analysis'!$V$4:$V$10</c:f>
              <c:multiLvlStrCache>
                <c:ptCount val="4"/>
                <c:lvl>
                  <c:pt idx="0">
                    <c:v>aria-dialog-name</c:v>
                  </c:pt>
                  <c:pt idx="1">
                    <c:v>heading-order</c:v>
                  </c:pt>
                  <c:pt idx="2">
                    <c:v>landmark-unique</c:v>
                  </c:pt>
                  <c:pt idx="3">
                    <c:v>region</c:v>
                  </c:pt>
                </c:lvl>
                <c:lvl>
                  <c:pt idx="0">
                    <c:v>high</c:v>
                  </c:pt>
                  <c:pt idx="1">
                    <c:v>medium</c:v>
                  </c:pt>
                </c:lvl>
              </c:multiLvlStrCache>
            </c:multiLvlStrRef>
          </c:cat>
          <c:val>
            <c:numRef>
              <c:f>'Non-compliance-pivot-analysis'!$W$4:$W$10</c:f>
              <c:numCache>
                <c:formatCode>General</c:formatCode>
                <c:ptCount val="4"/>
                <c:pt idx="0">
                  <c:v>3</c:v>
                </c:pt>
                <c:pt idx="1">
                  <c:v>1</c:v>
                </c:pt>
                <c:pt idx="2">
                  <c:v>2</c:v>
                </c:pt>
                <c:pt idx="3">
                  <c:v>14</c:v>
                </c:pt>
              </c:numCache>
            </c:numRef>
          </c:val>
          <c:extLst>
            <c:ext xmlns:c16="http://schemas.microsoft.com/office/drawing/2014/chart" uri="{C3380CC4-5D6E-409C-BE32-E72D297353CC}">
              <c16:uniqueId val="{00000000-8B82-42ED-A145-B73C6F5E7945}"/>
            </c:ext>
          </c:extLst>
        </c:ser>
        <c:dLbls>
          <c:showLegendKey val="0"/>
          <c:showVal val="0"/>
          <c:showCatName val="0"/>
          <c:showSerName val="0"/>
          <c:showPercent val="0"/>
          <c:showBubbleSize val="0"/>
        </c:dLbls>
        <c:gapWidth val="182"/>
        <c:axId val="1427312831"/>
        <c:axId val="1427319071"/>
      </c:barChart>
      <c:catAx>
        <c:axId val="1427312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319071"/>
        <c:crosses val="autoZero"/>
        <c:auto val="1"/>
        <c:lblAlgn val="ctr"/>
        <c:lblOffset val="100"/>
        <c:noMultiLvlLbl val="0"/>
      </c:catAx>
      <c:valAx>
        <c:axId val="14273190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312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[audit-analysis-template.xlsm]Non-compliance-pivot-analysis!NonCompRules</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 Rule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'Non-compliance-pivot-analysis'!$AC$3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D2-4B5A-B1C6-06FE331F57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D2-4B5A-B1C6-06FE331F57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D2-4B5A-B1C6-06FE331F57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7D2-4B5A-B1C6-06FE331F5751}"/>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'Non-compliance-pivot-analysis'!$AB$4:$AB$8</c:f>
              <c:strCache>
                <c:ptCount val="4"/>
                <c:pt idx="0">
                  <c:v>aria-dialog-name</c:v>
                </c:pt>
                <c:pt idx="1">
                  <c:v>heading-order</c:v>
                </c:pt>
                <c:pt idx="2">
                  <c:v>landmark-unique</c:v>
                </c:pt>
                <c:pt idx="3">
                  <c:v>region</c:v>
                </c:pt>
              </c:strCache>
            </c:strRef>
          </c:cat>
          <c:val>
            <c:numRef>
              <c:f>'Non-compliance-pivot-analysis'!$AC$4:$AC$8</c:f>
              <c:numCache>
                <c:formatCode>General</c:formatCode>
                <c:ptCount val="4"/>
                <c:pt idx="0">
                  <c:v>3</c:v>
                </c:pt>
                <c:pt idx="1">
                  <c:v>1</c:v>
                </c:pt>
                <c:pt idx="2">
                  <c:v>2</c:v>
                </c:pt>
                <c:pt idx="3">
                  <c:v>14</c:v>
                </c:pt>
              </c:numCache>
            </c:numRef>
          </c:val>
          <c:extLst>
            <c:ext xmlns:c16="http://schemas.microsoft.com/office/drawing/2014/chart" uri="{C3380CC4-5D6E-409C-BE32-E72D297353CC}">
              <c16:uniqueId val="{00000008-47D2-4B5A-B1C6-06FE331F575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[audit-analysis-template.xlsm]Non-compliance-pivot-analysis!NonCompPage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 Page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'Non-compliance-pivot-analysis'!$AI$3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'Non-compliance-pivot-analysis'!$AH$4:$AH$7</c:f>
              <c:strCache>
                <c:ptCount val="3"/>
                <c:pt idx="0">
                  <c:v>faq</c:v>
                </c:pt>
                <c:pt idx="1">
                  <c:v>home</c:v>
                </c:pt>
                <c:pt idx="2">
                  <c:v>login</c:v>
                </c:pt>
              </c:strCache>
            </c:strRef>
          </c:cat>
          <c:val>
            <c:numRef>
              <c:f>'Non-compliance-pivot-analysis'!$AI$4:$AI$7</c:f>
              <c:numCache>
                <c:formatCode>General</c:formatCode>
                <c:ptCount val="3"/>
                <c:pt idx="0">
                  <c:v>8</c:v>
                </c:pt>
                <c:pt idx="1">
                  <c:v>7</c:v>
                </c:pt>
                <c:pt idx="2">
                  <c:v>5</c:v>
                </c:pt>
              </c:numCache>
            </c:numRef>
          </c:val>
          <c:extLst>
            <c:ext xmlns:c16="http://schemas.microsoft.com/office/drawing/2014/chart" uri="{C3380CC4-5D6E-409C-BE32-E72D297353CC}">
              <c16:uniqueId val="{00000000-DC0B-453B-A696-0E8F0647A4FA}"/>
            </c:ext>
          </c:extLst>
        </c:ser>
        <c:dLbls>
          <c:dLblPos val="outEnd"/>
          <c:showLegendKey val="0"/>
          <c:showVal val="1"/>
          <c:showCatName val="0"/>
          <c:showSerName val="0"/>
          <c:showPercent val="0"/>
          <c:showBubbleSize val="0"/>
        </c:dLbls>
        <c:gapWidth val="219"/>
        <c:overlap val="-27"/>
        <c:axId val="1026215088"/>
        <c:axId val="1026217968"/>
      </c:barChart>
      <c:catAx>
        <c:axId val="102621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6217968"/>
        <c:crosses val="autoZero"/>
        <c:auto val="1"/>
        <c:lblAlgn val="ctr"/>
        <c:lblOffset val="100"/>
        <c:noMultiLvlLbl val="0"/>
      </c:catAx>
      <c:valAx>
        <c:axId val="102621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6215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[audit-analysis-template.xlsm]Non-compliance-pivot-analysis!NonCompPageRule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Rules</a:t>
            </a:r>
            <a:r>
              <a:rPr lang="en-US" baseline="0"/>
              <a:t> per page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'Non-compliance-pivot-analysis'!$AF$3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'Non-compliance-pivot-analysis'!$AE$4:$AE$16</c:f>
              <c:multiLvlStrCache>
                <c:ptCount val="9"/>
                <c:lvl>
                  <c:pt idx="0">
                    <c:v>aria-dialog-name</c:v>
                  </c:pt>
                  <c:pt idx="1">
                    <c:v>landmark-unique</c:v>
                  </c:pt>
                  <c:pt idx="2">
                    <c:v>region</c:v>
                  </c:pt>
                  <c:pt idx="3">
                    <c:v>aria-dialog-name</c:v>
                  </c:pt>
                  <c:pt idx="4">
                    <c:v>heading-order</c:v>
                  </c:pt>
                  <c:pt idx="5">
                    <c:v>landmark-unique</c:v>
                  </c:pt>
                  <c:pt idx="6">
                    <c:v>region</c:v>
                  </c:pt>
                  <c:pt idx="7">
                    <c:v>aria-dialog-name</c:v>
                  </c:pt>
                  <c:pt idx="8">
                    <c:v>region</c:v>
                  </c:pt>
                </c:lvl>
                <c:lvl>
                  <c:pt idx="0">
                    <c:v>faq</c:v>
                  </c:pt>
                  <c:pt idx="3">
                    <c:v>home</c:v>
                  </c:pt>
                  <c:pt idx="7">
                    <c:v>login</c:v>
                  </c:pt>
                </c:lvl>
              </c:multiLvlStrCache>
            </c:multiLvlStrRef>
          </c:cat>
          <c:val>
            <c:numRef>
              <c:f>'Non-compliance-pivot-analysis'!$AF$4:$AF$16</c:f>
              <c:numCache>
                <c:formatCode>General</c:formatCode>
                <c:ptCount val="9"/>
                <c:pt idx="0">
                  <c:v>1</c:v>
                </c:pt>
                <c:pt idx="1">
                  <c:v>1</c:v>
                </c:pt>
                <c:pt idx="2">
                  <c:v>6</c:v>
                </c:pt>
                <c:pt idx="3">
                  <c:v>1</c:v>
                </c:pt>
                <c:pt idx="4">
                  <c:v>1</c:v>
                </c:pt>
                <c:pt idx="5">
                  <c:v>1</c:v>
                </c:pt>
                <c:pt idx="6">
                  <c:v>4</c:v>
                </c:pt>
                <c:pt idx="7">
                  <c:v>1</c:v>
                </c:pt>
                <c:pt idx="8">
                  <c:v>4</c:v>
                </c:pt>
              </c:numCache>
            </c:numRef>
          </c:val>
          <c:extLst>
            <c:ext xmlns:c16="http://schemas.microsoft.com/office/drawing/2014/chart" uri="{C3380CC4-5D6E-409C-BE32-E72D297353CC}">
              <c16:uniqueId val="{00000000-F890-4B2B-B0CE-363B102A11F6}"/>
            </c:ext>
          </c:extLst>
        </c:ser>
        <c:dLbls>
          <c:dLblPos val="outEnd"/>
          <c:showLegendKey val="0"/>
          <c:showVal val="1"/>
          <c:showCatName val="0"/>
          <c:showSerName val="0"/>
          <c:showPercent val="0"/>
          <c:showBubbleSize val="0"/>
        </c:dLbls>
        <c:gapWidth val="182"/>
        <c:axId val="896256768"/>
        <c:axId val="896252448"/>
      </c:barChart>
      <c:catAx>
        <c:axId val="896256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252448"/>
        <c:crosses val="autoZero"/>
        <c:auto val="1"/>
        <c:lblAlgn val="ctr"/>
        <c:lblOffset val="100"/>
        <c:noMultiLvlLbl val="0"/>
      </c:catAx>
      <c:valAx>
        <c:axId val="896252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25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txData>
          <cx:v>Top 3 guidelines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Top 3 guidelines</a:t>
          </a:r>
        </a:p>
      </cx:txPr>
    </cx:title>
    <cx:plotArea>
      <cx:plotAreaRegion>
        <cx:series layoutId="funnel" uniqueId="{F5F3A523-0C51-473F-8459-4BA62E60BCB9}">
          <cx:tx>
            <cx:txData>
              <cx:f>_xlchart.v2.4</cx:f>
              <cx:v>Violations</cx:v>
            </cx:txData>
          </cx:tx>
          <cx:dataLabels>
            <cx:visibility seriesName="0" categoryName="0" value="1"/>
            <cx:separator>, </cx:separator>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Top criterions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Top criterions</a:t>
          </a:r>
        </a:p>
      </cx:txPr>
    </cx:title>
    <cx:plotArea>
      <cx:plotAreaRegion>
        <cx:series layoutId="funnel" uniqueId="{A2BEC361-37F5-46CE-BE06-37AA8A56ECAC}">
          <cx:tx>
            <cx:txData>
              <cx:f>_xlchart.v2.1</cx:f>
              <cx:v>Violations</cx:v>
            </cx:txData>
          </cx:tx>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en-US" sz="900" b="0" i="0" u="none" strike="noStrike" baseline="0">
              <a:solidFill>
                <a:sysClr val="windowText" lastClr="000000">
                  <a:lumMod val="65000"/>
                  <a:lumOff val="35000"/>
                </a:sysClr>
              </a:solidFill>
              <a:latin typeface="Aptos Narrow" panose="02110004020202020204"/>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1.xml"/><Relationship Id="rId3" Type="http://schemas.openxmlformats.org/officeDocument/2006/relationships/chart" Target="../charts/chart3.xml"/><Relationship Id="rId7" Type="http://schemas.microsoft.com/office/2014/relationships/chartEx" Target="../charts/chartEx1.xml"/><Relationship Id="rId12" Type="http://schemas.openxmlformats.org/officeDocument/2006/relationships/chart" Target="../charts/chart10.xml"/><Relationship Id="rId2" Type="http://schemas.openxmlformats.org/officeDocument/2006/relationships/chart" Target="../charts/chart2.xml"/><Relationship Id="rId16" Type="http://schemas.openxmlformats.org/officeDocument/2006/relationships/chart" Target="../charts/chart14.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chart" Target="../charts/chart5.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4.xml"/><Relationship Id="rId9" Type="http://schemas.microsoft.com/office/2014/relationships/chartEx" Target="../charts/chartEx2.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133350</xdr:colOff>
      <xdr:row>33</xdr:row>
      <xdr:rowOff>0</xdr:rowOff>
    </xdr:from>
    <xdr:to>
      <xdr:col>5</xdr:col>
      <xdr:colOff>904875</xdr:colOff>
      <xdr:row>47</xdr:row>
      <xdr:rowOff>133351</xdr:rowOff>
    </xdr:to>
    <xdr:graphicFrame macro="">
      <xdr:nvGraphicFramePr>
        <xdr:cNvPr id="4" name="Chart 3">
          <a:extLst>
            <a:ext uri="{FF2B5EF4-FFF2-40B4-BE49-F238E27FC236}">
              <a16:creationId xmlns:a16="http://schemas.microsoft.com/office/drawing/2014/main" id="{45D005A2-7E0B-48CB-9B89-D69BF620F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904876</xdr:colOff>
      <xdr:row>33</xdr:row>
      <xdr:rowOff>0</xdr:rowOff>
    </xdr:from>
    <xdr:to>
      <xdr:col>11</xdr:col>
      <xdr:colOff>47626</xdr:colOff>
      <xdr:row>47</xdr:row>
      <xdr:rowOff>133350</xdr:rowOff>
    </xdr:to>
    <xdr:graphicFrame macro="">
      <xdr:nvGraphicFramePr>
        <xdr:cNvPr id="7" name="Chart 6">
          <a:extLst>
            <a:ext uri="{FF2B5EF4-FFF2-40B4-BE49-F238E27FC236}">
              <a16:creationId xmlns:a16="http://schemas.microsoft.com/office/drawing/2014/main" id="{801BBDC4-3B74-4C22-9E02-443B6682C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1117601</xdr:colOff>
      <xdr:row>51</xdr:row>
      <xdr:rowOff>38099</xdr:rowOff>
    </xdr:from>
    <xdr:to>
      <xdr:col>17</xdr:col>
      <xdr:colOff>9526</xdr:colOff>
      <xdr:row>73</xdr:row>
      <xdr:rowOff>123825</xdr:rowOff>
    </xdr:to>
    <xdr:graphicFrame macro="">
      <xdr:nvGraphicFramePr>
        <xdr:cNvPr id="8" name="Chart 7">
          <a:extLst>
            <a:ext uri="{FF2B5EF4-FFF2-40B4-BE49-F238E27FC236}">
              <a16:creationId xmlns:a16="http://schemas.microsoft.com/office/drawing/2014/main" id="{719C5A0D-A64A-448E-B918-3A9548E1AE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104775</xdr:colOff>
      <xdr:row>50</xdr:row>
      <xdr:rowOff>19050</xdr:rowOff>
    </xdr:from>
    <xdr:to>
      <xdr:col>3</xdr:col>
      <xdr:colOff>1019175</xdr:colOff>
      <xdr:row>62</xdr:row>
      <xdr:rowOff>38100</xdr:rowOff>
    </xdr:to>
    <mc:AlternateContent xmlns:mc="http://schemas.openxmlformats.org/markup-compatibility/2006" xmlns:a14="http://schemas.microsoft.com/office/drawing/2010/main">
      <mc:Choice Requires="a14">
        <xdr:graphicFrame macro="">
          <xdr:nvGraphicFramePr>
            <xdr:cNvPr id="9" name="pageId">
              <a:extLst>
                <a:ext uri="{FF2B5EF4-FFF2-40B4-BE49-F238E27FC236}">
                  <a16:creationId xmlns:a16="http://schemas.microsoft.com/office/drawing/2014/main" id="{930947A5-033A-49BF-8701-16BAC62292C0}"/>
                </a:ext>
              </a:extLst>
            </xdr:cNvPr>
            <xdr:cNvGraphicFramePr/>
          </xdr:nvGraphicFramePr>
          <xdr:xfrm>
            <a:off x="0" y="0"/>
            <a:ext cx="0" cy="0"/>
          </xdr:xfrm>
          <a:graphic>
            <a:graphicData uri="http://schemas.microsoft.com/office/drawing/2010/slicer">
              <sle:slicer xmlns:sle="http://schemas.microsoft.com/office/drawing/2010/slicer" name="pageId"/>
            </a:graphicData>
          </a:graphic>
        </xdr:graphicFrame>
      </mc:Choice>
      <mc:Fallback xmlns="">
        <xdr:sp macro="" textlink="">
          <xdr:nvSpPr>
            <xdr:cNvPr id="0" name=""/>
            <xdr:cNvSpPr>
              <a:spLocks noTextEdit="1"/>
            </xdr:cNvSpPr>
          </xdr:nvSpPr>
          <xdr:spPr>
            <a:xfrm>
              <a:off x="104775" y="12020550"/>
              <a:ext cx="2419350" cy="2305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104775</xdr:colOff>
      <xdr:row>62</xdr:row>
      <xdr:rowOff>19049</xdr:rowOff>
    </xdr:from>
    <xdr:to>
      <xdr:col>3</xdr:col>
      <xdr:colOff>1019175</xdr:colOff>
      <xdr:row>70</xdr:row>
      <xdr:rowOff>104774</xdr:rowOff>
    </xdr:to>
    <mc:AlternateContent xmlns:mc="http://schemas.openxmlformats.org/markup-compatibility/2006" xmlns:a14="http://schemas.microsoft.com/office/drawing/2010/main">
      <mc:Choice Requires="a14">
        <xdr:graphicFrame macro="">
          <xdr:nvGraphicFramePr>
            <xdr:cNvPr id="10" name="Principle">
              <a:extLst>
                <a:ext uri="{FF2B5EF4-FFF2-40B4-BE49-F238E27FC236}">
                  <a16:creationId xmlns:a16="http://schemas.microsoft.com/office/drawing/2014/main" id="{DD64B963-E363-4D99-B1DF-4614EF9620B5}"/>
                </a:ext>
              </a:extLst>
            </xdr:cNvPr>
            <xdr:cNvGraphicFramePr/>
          </xdr:nvGraphicFramePr>
          <xdr:xfrm>
            <a:off x="0" y="0"/>
            <a:ext cx="0" cy="0"/>
          </xdr:xfrm>
          <a:graphic>
            <a:graphicData uri="http://schemas.microsoft.com/office/drawing/2010/slicer">
              <sle:slicer xmlns:sle="http://schemas.microsoft.com/office/drawing/2010/slicer" name="Principle"/>
            </a:graphicData>
          </a:graphic>
        </xdr:graphicFrame>
      </mc:Choice>
      <mc:Fallback xmlns="">
        <xdr:sp macro="" textlink="">
          <xdr:nvSpPr>
            <xdr:cNvPr id="0" name=""/>
            <xdr:cNvSpPr>
              <a:spLocks noTextEdit="1"/>
            </xdr:cNvSpPr>
          </xdr:nvSpPr>
          <xdr:spPr>
            <a:xfrm>
              <a:off x="104775" y="14306549"/>
              <a:ext cx="2419350" cy="1609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104775</xdr:colOff>
      <xdr:row>70</xdr:row>
      <xdr:rowOff>85725</xdr:rowOff>
    </xdr:from>
    <xdr:to>
      <xdr:col>3</xdr:col>
      <xdr:colOff>1019175</xdr:colOff>
      <xdr:row>84</xdr:row>
      <xdr:rowOff>85725</xdr:rowOff>
    </xdr:to>
    <mc:AlternateContent xmlns:mc="http://schemas.openxmlformats.org/markup-compatibility/2006" xmlns:a14="http://schemas.microsoft.com/office/drawing/2010/main">
      <mc:Choice Requires="a14">
        <xdr:graphicFrame macro="">
          <xdr:nvGraphicFramePr>
            <xdr:cNvPr id="11" name="Guideline">
              <a:extLst>
                <a:ext uri="{FF2B5EF4-FFF2-40B4-BE49-F238E27FC236}">
                  <a16:creationId xmlns:a16="http://schemas.microsoft.com/office/drawing/2014/main" id="{7F399EF0-4BDA-4A01-9630-BC34889DC1F2}"/>
                </a:ext>
              </a:extLst>
            </xdr:cNvPr>
            <xdr:cNvGraphicFramePr/>
          </xdr:nvGraphicFramePr>
          <xdr:xfrm>
            <a:off x="0" y="0"/>
            <a:ext cx="0" cy="0"/>
          </xdr:xfrm>
          <a:graphic>
            <a:graphicData uri="http://schemas.microsoft.com/office/drawing/2010/slicer">
              <sle:slicer xmlns:sle="http://schemas.microsoft.com/office/drawing/2010/slicer" name="Guideline"/>
            </a:graphicData>
          </a:graphic>
        </xdr:graphicFrame>
      </mc:Choice>
      <mc:Fallback xmlns="">
        <xdr:sp macro="" textlink="">
          <xdr:nvSpPr>
            <xdr:cNvPr id="0" name=""/>
            <xdr:cNvSpPr>
              <a:spLocks noTextEdit="1"/>
            </xdr:cNvSpPr>
          </xdr:nvSpPr>
          <xdr:spPr>
            <a:xfrm>
              <a:off x="104775" y="15897225"/>
              <a:ext cx="241935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104775</xdr:colOff>
      <xdr:row>84</xdr:row>
      <xdr:rowOff>76200</xdr:rowOff>
    </xdr:from>
    <xdr:to>
      <xdr:col>3</xdr:col>
      <xdr:colOff>1019175</xdr:colOff>
      <xdr:row>98</xdr:row>
      <xdr:rowOff>76200</xdr:rowOff>
    </xdr:to>
    <mc:AlternateContent xmlns:mc="http://schemas.openxmlformats.org/markup-compatibility/2006" xmlns:a14="http://schemas.microsoft.com/office/drawing/2010/main">
      <mc:Choice Requires="a14">
        <xdr:graphicFrame macro="">
          <xdr:nvGraphicFramePr>
            <xdr:cNvPr id="12" name="Criterion - name - EU">
              <a:extLst>
                <a:ext uri="{FF2B5EF4-FFF2-40B4-BE49-F238E27FC236}">
                  <a16:creationId xmlns:a16="http://schemas.microsoft.com/office/drawing/2014/main" id="{50259D7D-DBAE-442D-9899-59ABD829A0D6}"/>
                </a:ext>
              </a:extLst>
            </xdr:cNvPr>
            <xdr:cNvGraphicFramePr/>
          </xdr:nvGraphicFramePr>
          <xdr:xfrm>
            <a:off x="0" y="0"/>
            <a:ext cx="0" cy="0"/>
          </xdr:xfrm>
          <a:graphic>
            <a:graphicData uri="http://schemas.microsoft.com/office/drawing/2010/slicer">
              <sle:slicer xmlns:sle="http://schemas.microsoft.com/office/drawing/2010/slicer" name="Criterion - name - EU"/>
            </a:graphicData>
          </a:graphic>
        </xdr:graphicFrame>
      </mc:Choice>
      <mc:Fallback xmlns="">
        <xdr:sp macro="" textlink="">
          <xdr:nvSpPr>
            <xdr:cNvPr id="0" name=""/>
            <xdr:cNvSpPr>
              <a:spLocks noTextEdit="1"/>
            </xdr:cNvSpPr>
          </xdr:nvSpPr>
          <xdr:spPr>
            <a:xfrm>
              <a:off x="104775" y="18554700"/>
              <a:ext cx="241935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0</xdr:colOff>
      <xdr:row>75</xdr:row>
      <xdr:rowOff>47625</xdr:rowOff>
    </xdr:from>
    <xdr:to>
      <xdr:col>9</xdr:col>
      <xdr:colOff>1247775</xdr:colOff>
      <xdr:row>98</xdr:row>
      <xdr:rowOff>66675</xdr:rowOff>
    </xdr:to>
    <xdr:graphicFrame macro="">
      <xdr:nvGraphicFramePr>
        <xdr:cNvPr id="13" name="Chart 12">
          <a:extLst>
            <a:ext uri="{FF2B5EF4-FFF2-40B4-BE49-F238E27FC236}">
              <a16:creationId xmlns:a16="http://schemas.microsoft.com/office/drawing/2014/main" id="{CA932705-503B-4FB8-917F-B543700E2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xdr:colOff>
      <xdr:row>33</xdr:row>
      <xdr:rowOff>0</xdr:rowOff>
    </xdr:from>
    <xdr:to>
      <xdr:col>17</xdr:col>
      <xdr:colOff>0</xdr:colOff>
      <xdr:row>47</xdr:row>
      <xdr:rowOff>133350</xdr:rowOff>
    </xdr:to>
    <xdr:graphicFrame macro="">
      <xdr:nvGraphicFramePr>
        <xdr:cNvPr id="14" name="Chart 13">
          <a:extLst>
            <a:ext uri="{FF2B5EF4-FFF2-40B4-BE49-F238E27FC236}">
              <a16:creationId xmlns:a16="http://schemas.microsoft.com/office/drawing/2014/main" id="{2EE59B6A-19F5-4362-A2FE-AA74C3B406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1266825</xdr:colOff>
      <xdr:row>75</xdr:row>
      <xdr:rowOff>47625</xdr:rowOff>
    </xdr:from>
    <xdr:to>
      <xdr:col>16</xdr:col>
      <xdr:colOff>600075</xdr:colOff>
      <xdr:row>98</xdr:row>
      <xdr:rowOff>66675</xdr:rowOff>
    </xdr:to>
    <xdr:graphicFrame macro="">
      <xdr:nvGraphicFramePr>
        <xdr:cNvPr id="15" name="Chart 14">
          <a:extLst>
            <a:ext uri="{FF2B5EF4-FFF2-40B4-BE49-F238E27FC236}">
              <a16:creationId xmlns:a16="http://schemas.microsoft.com/office/drawing/2014/main" id="{B47E10CA-DB97-43C2-8122-9002B553F6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1114425</xdr:colOff>
      <xdr:row>23</xdr:row>
      <xdr:rowOff>66675</xdr:rowOff>
    </xdr:from>
    <xdr:to>
      <xdr:col>16</xdr:col>
      <xdr:colOff>609599</xdr:colOff>
      <xdr:row>32</xdr:row>
      <xdr:rowOff>114300</xdr:rowOff>
    </xdr:to>
    <mc:AlternateContent xmlns:mc="http://schemas.openxmlformats.org/markup-compatibility/2006">
      <mc:Choice xmlns:cx2="http://schemas.microsoft.com/office/drawing/2015/10/21/chartex" Requires="cx2">
        <xdr:graphicFrame macro="">
          <xdr:nvGraphicFramePr>
            <xdr:cNvPr id="17" name="Chart 16">
              <a:extLst>
                <a:ext uri="{FF2B5EF4-FFF2-40B4-BE49-F238E27FC236}">
                  <a16:creationId xmlns:a16="http://schemas.microsoft.com/office/drawing/2014/main" id="{680FA302-4782-453F-984D-C856EE6FB1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661150" y="6572250"/>
              <a:ext cx="4305299" cy="1758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152400</xdr:colOff>
      <xdr:row>13</xdr:row>
      <xdr:rowOff>19049</xdr:rowOff>
    </xdr:from>
    <xdr:to>
      <xdr:col>9</xdr:col>
      <xdr:colOff>1066800</xdr:colOff>
      <xdr:row>32</xdr:row>
      <xdr:rowOff>104775</xdr:rowOff>
    </xdr:to>
    <xdr:graphicFrame macro="">
      <xdr:nvGraphicFramePr>
        <xdr:cNvPr id="18" name="Chart 17">
          <a:extLst>
            <a:ext uri="{FF2B5EF4-FFF2-40B4-BE49-F238E27FC236}">
              <a16:creationId xmlns:a16="http://schemas.microsoft.com/office/drawing/2014/main" id="{6213D5A2-FA70-49B7-8D94-FF4E4554B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1114424</xdr:colOff>
      <xdr:row>13</xdr:row>
      <xdr:rowOff>19050</xdr:rowOff>
    </xdr:from>
    <xdr:to>
      <xdr:col>16</xdr:col>
      <xdr:colOff>601625</xdr:colOff>
      <xdr:row>23</xdr:row>
      <xdr:rowOff>66676</xdr:rowOff>
    </xdr:to>
    <mc:AlternateContent xmlns:mc="http://schemas.openxmlformats.org/markup-compatibility/2006">
      <mc:Choice xmlns:cx2="http://schemas.microsoft.com/office/drawing/2015/10/21/chartex" Requires="cx2">
        <xdr:graphicFrame macro="">
          <xdr:nvGraphicFramePr>
            <xdr:cNvPr id="19" name="Chart 18">
              <a:extLst>
                <a:ext uri="{FF2B5EF4-FFF2-40B4-BE49-F238E27FC236}">
                  <a16:creationId xmlns:a16="http://schemas.microsoft.com/office/drawing/2014/main" id="{A9E1E81C-88E0-4277-9D50-F783EF08F1E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661149" y="4616450"/>
              <a:ext cx="4300501" cy="19558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0</xdr:colOff>
      <xdr:row>8</xdr:row>
      <xdr:rowOff>95249</xdr:rowOff>
    </xdr:from>
    <xdr:to>
      <xdr:col>16</xdr:col>
      <xdr:colOff>590550</xdr:colOff>
      <xdr:row>10</xdr:row>
      <xdr:rowOff>1152524</xdr:rowOff>
    </xdr:to>
    <xdr:graphicFrame macro="">
      <xdr:nvGraphicFramePr>
        <xdr:cNvPr id="21" name="Chart 20">
          <a:extLst>
            <a:ext uri="{FF2B5EF4-FFF2-40B4-BE49-F238E27FC236}">
              <a16:creationId xmlns:a16="http://schemas.microsoft.com/office/drawing/2014/main" id="{9A1D1604-93D6-4072-A3DF-5DBCBE3C3D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0</xdr:colOff>
      <xdr:row>109</xdr:row>
      <xdr:rowOff>66675</xdr:rowOff>
    </xdr:from>
    <xdr:to>
      <xdr:col>16</xdr:col>
      <xdr:colOff>600075</xdr:colOff>
      <xdr:row>131</xdr:row>
      <xdr:rowOff>152400</xdr:rowOff>
    </xdr:to>
    <xdr:graphicFrame macro="">
      <xdr:nvGraphicFramePr>
        <xdr:cNvPr id="23" name="Chart 22">
          <a:extLst>
            <a:ext uri="{FF2B5EF4-FFF2-40B4-BE49-F238E27FC236}">
              <a16:creationId xmlns:a16="http://schemas.microsoft.com/office/drawing/2014/main" id="{0C2C475D-8850-479F-B114-33B4B3C2F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76200</xdr:colOff>
      <xdr:row>102</xdr:row>
      <xdr:rowOff>19050</xdr:rowOff>
    </xdr:from>
    <xdr:to>
      <xdr:col>11</xdr:col>
      <xdr:colOff>57151</xdr:colOff>
      <xdr:row>104</xdr:row>
      <xdr:rowOff>9525</xdr:rowOff>
    </xdr:to>
    <xdr:graphicFrame macro="">
      <xdr:nvGraphicFramePr>
        <xdr:cNvPr id="25" name="Chart 24">
          <a:extLst>
            <a:ext uri="{FF2B5EF4-FFF2-40B4-BE49-F238E27FC236}">
              <a16:creationId xmlns:a16="http://schemas.microsoft.com/office/drawing/2014/main" id="{0EEC8FF3-1CEC-4358-A9F7-CBEB655853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0</xdr:colOff>
      <xdr:row>133</xdr:row>
      <xdr:rowOff>0</xdr:rowOff>
    </xdr:from>
    <xdr:to>
      <xdr:col>9</xdr:col>
      <xdr:colOff>1257300</xdr:colOff>
      <xdr:row>155</xdr:row>
      <xdr:rowOff>180975</xdr:rowOff>
    </xdr:to>
    <xdr:graphicFrame macro="">
      <xdr:nvGraphicFramePr>
        <xdr:cNvPr id="26" name="Chart 25">
          <a:extLst>
            <a:ext uri="{FF2B5EF4-FFF2-40B4-BE49-F238E27FC236}">
              <a16:creationId xmlns:a16="http://schemas.microsoft.com/office/drawing/2014/main" id="{4DA7255D-F564-4D96-BF52-2DE999E526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1266824</xdr:colOff>
      <xdr:row>133</xdr:row>
      <xdr:rowOff>0</xdr:rowOff>
    </xdr:from>
    <xdr:to>
      <xdr:col>16</xdr:col>
      <xdr:colOff>600074</xdr:colOff>
      <xdr:row>155</xdr:row>
      <xdr:rowOff>180975</xdr:rowOff>
    </xdr:to>
    <xdr:graphicFrame macro="">
      <xdr:nvGraphicFramePr>
        <xdr:cNvPr id="27" name="Chart 26">
          <a:extLst>
            <a:ext uri="{FF2B5EF4-FFF2-40B4-BE49-F238E27FC236}">
              <a16:creationId xmlns:a16="http://schemas.microsoft.com/office/drawing/2014/main" id="{4FC0D5A0-EAFE-463C-B2BE-6D921087FC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0</xdr:colOff>
      <xdr:row>159</xdr:row>
      <xdr:rowOff>0</xdr:rowOff>
    </xdr:from>
    <xdr:to>
      <xdr:col>9</xdr:col>
      <xdr:colOff>1257300</xdr:colOff>
      <xdr:row>182</xdr:row>
      <xdr:rowOff>28575</xdr:rowOff>
    </xdr:to>
    <xdr:graphicFrame macro="">
      <xdr:nvGraphicFramePr>
        <xdr:cNvPr id="29" name="Chart 28">
          <a:extLst>
            <a:ext uri="{FF2B5EF4-FFF2-40B4-BE49-F238E27FC236}">
              <a16:creationId xmlns:a16="http://schemas.microsoft.com/office/drawing/2014/main" id="{FA688402-2912-4FB9-87A9-04E1CE8CCC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1257300</xdr:colOff>
      <xdr:row>158</xdr:row>
      <xdr:rowOff>190499</xdr:rowOff>
    </xdr:from>
    <xdr:to>
      <xdr:col>16</xdr:col>
      <xdr:colOff>600075</xdr:colOff>
      <xdr:row>182</xdr:row>
      <xdr:rowOff>28574</xdr:rowOff>
    </xdr:to>
    <xdr:graphicFrame macro="">
      <xdr:nvGraphicFramePr>
        <xdr:cNvPr id="30" name="Chart 29">
          <a:extLst>
            <a:ext uri="{FF2B5EF4-FFF2-40B4-BE49-F238E27FC236}">
              <a16:creationId xmlns:a16="http://schemas.microsoft.com/office/drawing/2014/main" id="{5CFF96BE-5149-47BD-8500-EF404D6C4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xdr:col>
      <xdr:colOff>9524</xdr:colOff>
      <xdr:row>145</xdr:row>
      <xdr:rowOff>142874</xdr:rowOff>
    </xdr:from>
    <xdr:to>
      <xdr:col>3</xdr:col>
      <xdr:colOff>990600</xdr:colOff>
      <xdr:row>182</xdr:row>
      <xdr:rowOff>19049</xdr:rowOff>
    </xdr:to>
    <mc:AlternateContent xmlns:mc="http://schemas.openxmlformats.org/markup-compatibility/2006" xmlns:a14="http://schemas.microsoft.com/office/drawing/2010/main">
      <mc:Choice Requires="a14">
        <xdr:graphicFrame macro="">
          <xdr:nvGraphicFramePr>
            <xdr:cNvPr id="31" name="ruleId">
              <a:extLst>
                <a:ext uri="{FF2B5EF4-FFF2-40B4-BE49-F238E27FC236}">
                  <a16:creationId xmlns:a16="http://schemas.microsoft.com/office/drawing/2014/main" id="{32E491D8-1E93-47B6-8EB2-AA96C9C6E251}"/>
                </a:ext>
              </a:extLst>
            </xdr:cNvPr>
            <xdr:cNvGraphicFramePr/>
          </xdr:nvGraphicFramePr>
          <xdr:xfrm>
            <a:off x="0" y="0"/>
            <a:ext cx="0" cy="0"/>
          </xdr:xfrm>
          <a:graphic>
            <a:graphicData uri="http://schemas.microsoft.com/office/drawing/2010/slicer">
              <sle:slicer xmlns:sle="http://schemas.microsoft.com/office/drawing/2010/slicer" name="ruleId"/>
            </a:graphicData>
          </a:graphic>
        </xdr:graphicFrame>
      </mc:Choice>
      <mc:Fallback xmlns="">
        <xdr:sp macro="" textlink="">
          <xdr:nvSpPr>
            <xdr:cNvPr id="0" name=""/>
            <xdr:cNvSpPr>
              <a:spLocks noTextEdit="1"/>
            </xdr:cNvSpPr>
          </xdr:nvSpPr>
          <xdr:spPr>
            <a:xfrm>
              <a:off x="171449" y="31613474"/>
              <a:ext cx="2324101" cy="682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9524</xdr:colOff>
      <xdr:row>108</xdr:row>
      <xdr:rowOff>28575</xdr:rowOff>
    </xdr:from>
    <xdr:to>
      <xdr:col>3</xdr:col>
      <xdr:colOff>990600</xdr:colOff>
      <xdr:row>122</xdr:row>
      <xdr:rowOff>28575</xdr:rowOff>
    </xdr:to>
    <mc:AlternateContent xmlns:mc="http://schemas.openxmlformats.org/markup-compatibility/2006" xmlns:a14="http://schemas.microsoft.com/office/drawing/2010/main">
      <mc:Choice Requires="a14">
        <xdr:graphicFrame macro="">
          <xdr:nvGraphicFramePr>
            <xdr:cNvPr id="32" name="severity">
              <a:extLst>
                <a:ext uri="{FF2B5EF4-FFF2-40B4-BE49-F238E27FC236}">
                  <a16:creationId xmlns:a16="http://schemas.microsoft.com/office/drawing/2014/main" id="{C25EA18A-A34A-446E-A50D-B14D2E3760FF}"/>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171449" y="24450675"/>
              <a:ext cx="2324101"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9524</xdr:colOff>
      <xdr:row>122</xdr:row>
      <xdr:rowOff>19049</xdr:rowOff>
    </xdr:from>
    <xdr:to>
      <xdr:col>3</xdr:col>
      <xdr:colOff>990600</xdr:colOff>
      <xdr:row>145</xdr:row>
      <xdr:rowOff>142874</xdr:rowOff>
    </xdr:to>
    <mc:AlternateContent xmlns:mc="http://schemas.openxmlformats.org/markup-compatibility/2006" xmlns:a14="http://schemas.microsoft.com/office/drawing/2010/main">
      <mc:Choice Requires="a14">
        <xdr:graphicFrame macro="">
          <xdr:nvGraphicFramePr>
            <xdr:cNvPr id="33" name="pageId 1">
              <a:extLst>
                <a:ext uri="{FF2B5EF4-FFF2-40B4-BE49-F238E27FC236}">
                  <a16:creationId xmlns:a16="http://schemas.microsoft.com/office/drawing/2014/main" id="{FB1F2746-2836-4D5D-B6F2-52CCDB3306D7}"/>
                </a:ext>
              </a:extLst>
            </xdr:cNvPr>
            <xdr:cNvGraphicFramePr/>
          </xdr:nvGraphicFramePr>
          <xdr:xfrm>
            <a:off x="0" y="0"/>
            <a:ext cx="0" cy="0"/>
          </xdr:xfrm>
          <a:graphic>
            <a:graphicData uri="http://schemas.microsoft.com/office/drawing/2010/slicer">
              <sle:slicer xmlns:sle="http://schemas.microsoft.com/office/drawing/2010/slicer" name="pageId 1"/>
            </a:graphicData>
          </a:graphic>
        </xdr:graphicFrame>
      </mc:Choice>
      <mc:Fallback xmlns="">
        <xdr:sp macro="" textlink="">
          <xdr:nvSpPr>
            <xdr:cNvPr id="0" name=""/>
            <xdr:cNvSpPr>
              <a:spLocks noTextEdit="1"/>
            </xdr:cNvSpPr>
          </xdr:nvSpPr>
          <xdr:spPr>
            <a:xfrm>
              <a:off x="171449" y="27108149"/>
              <a:ext cx="2324101" cy="450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5</xdr:col>
          <xdr:colOff>895350</xdr:colOff>
          <xdr:row>5</xdr:row>
          <xdr:rowOff>400050</xdr:rowOff>
        </xdr:from>
        <xdr:to>
          <xdr:col>7</xdr:col>
          <xdr:colOff>752475</xdr:colOff>
          <xdr:row>5</xdr:row>
          <xdr:rowOff>790575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38099</xdr:colOff>
          <xdr:row>5</xdr:row>
          <xdr:rowOff>400050</xdr:rowOff>
        </xdr:from>
        <xdr:to>
          <xdr:col>5</xdr:col>
          <xdr:colOff>723899</xdr:colOff>
          <xdr:row>5</xdr:row>
          <xdr:rowOff>781050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🗃️Load Site's audit JSON File</a:t>
              </a:r>
            </a:p>
          </xdr:txBody>
        </xdr:sp>
        <xdr:clientData fPrintsWithSheet="0"/>
      </xdr:twoCellAnchor>
    </mc:Choice>
    <mc:Fallback/>
  </mc:AlternateContent>
</xdr:wsDr>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nstantinos" refreshedDate="46057.783558912037" backgroundQuery="1" createdVersion="8" refreshedVersion="8" minRefreshableVersion="3" recordCount="0" supportSubquery="1" supportAdvancedDrill="1" xr:uid="{DFC7A2F5-C1B9-467E-93BB-9E02CF741F5D}">
  <cacheSource type="external" connectionId="5"/>
  <cacheFields count="5">
    <cacheField name="[compliance].[pageId].[pageId]" caption="pageId" numFmtId="0" hierarchy="3" level="1">
      <sharedItems count="3">
        <s v="faq"/>
        <s v="home"/>
        <s v="login"/>
      </sharedItems>
    </cacheField>
    <cacheField name="[Measures].[Sum of violations]" caption="Sum of violations" numFmtId="0" hierarchy="16" level="32767"/>
    <cacheField name="[compliance].[Principle].[Principle]" caption="Principle" numFmtId="0" hierarchy="11" level="1">
      <sharedItems containsSemiMixedTypes="0" containsNonDate="0" containsString="0"/>
    </cacheField>
    <cacheField name="[compliance].[Guideline].[Guideline]" caption="Guideline" numFmtId="0" hierarchy="10" level="1">
      <sharedItems containsSemiMixedTypes="0" containsNonDate="0" containsString="0"/>
    </cacheField>
    <cacheField name="[compliance].[Criterion - name - EU].[Criterion - name - EU]" caption="Criterion - name - EU" numFmtId="0" hierarchy="9" level="1">
      <sharedItems containsSemiMixedTypes="0" containsNonDate="0" containsString="0"/>
    </cacheField>
  </cacheFields>
  <cacheHierarchies count="17">
    <cacheHierarchy uniqueName="[compliance].[criterionId]" caption="criterionId" attribute="1" defaultMemberUniqueName="[compliance].[criterionId].[All]" allUniqueName="[compliance].[criterionId].[All]" dimensionUniqueName="[compliance]" displayFolder="" count="0" memberValueDatatype="130" unbalanced="0"/>
    <cacheHierarchy uniqueName="[compliance].[violations]" caption="violations" attribute="1" defaultMemberUniqueName="[compliance].[violations].[All]" allUniqueName="[compliance].[violations].[All]" dimensionUniqueName="[compliance]" displayFolder="" count="0" memberValueDatatype="20" unbalanced="0"/>
    <cacheHierarchy uniqueName="[compliance].[severity]" caption="severity" attribute="1" defaultMemberUniqueName="[compliance].[severity].[All]" allUniqueName="[compliance].[severity].[All]" dimensionUniqueName="[compliance]" displayFolder="" count="0" memberValueDatatype="130" unbalanced="0"/>
    <cacheHierarchy uniqueName="[compliance].[pageId]" caption="pageId" attribute="1" defaultMemberUniqueName="[compliance].[pageId].[All]" allUniqueName="[compliance].[pageId].[All]" dimensionUniqueName="[compliance]" displayFolder="" count="2" memberValueDatatype="130" unbalanced="0">
      <fieldsUsage count="2">
        <fieldUsage x="-1"/>
        <fieldUsage x="0"/>
      </fieldsUsage>
    </cacheHierarchy>
    <cacheHierarchy uniqueName="[compliance].[pageUrl]" caption="pageUrl" attribute="1" defaultMemberUniqueName="[compliance].[pageUrl].[All]" allUniqueName="[compliance].[pageUrl].[All]" dimensionUniqueName="[compliance]" displayFolder="" count="0" memberValueDatatype="130" unbalanced="0"/>
    <cacheHierarchy uniqueName="[compliance].[auditRunId]" caption="auditRunId" attribute="1" defaultMemberUniqueName="[compliance].[auditRunId].[All]" allUniqueName="[compliance].[auditRunId].[All]" dimensionUniqueName="[compliance]" displayFolder="" count="0" memberValueDatatype="130" unbalanced="0"/>
    <cacheHierarchy uniqueName="[compliance].[startedAt]" caption="startedAt" attribute="1" time="1" defaultMemberUniqueName="[compliance].[startedAt].[All]" allUniqueName="[compliance].[startedAt].[All]" dimensionUniqueName="[compliance]" displayFolder="" count="0" memberValueDatatype="7" unbalanced="0"/>
    <cacheHierarchy uniqueName="[compliance].[finishedAt]" caption="finishedAt" attribute="1" time="1" defaultMemberUniqueName="[compliance].[finishedAt].[All]" allUniqueName="[compliance].[finishedAt].[All]" dimensionUniqueName="[compliance]" displayFolder="" count="0" memberValueDatatype="7" unbalanced="0"/>
    <cacheHierarchy uniqueName="[compliance].[siteId]" caption="siteId" attribute="1" defaultMemberUniqueName="[compliance].[siteId].[All]" allUniqueName="[compliance].[siteId].[All]" dimensionUniqueName="[compliance]" displayFolder="" count="0" memberValueDatatype="130" unbalanced="0"/>
    <cacheHierarchy uniqueName="[compliance].[Criterion - name - EU]" caption="Criterion - name - EU" attribute="1" defaultMemberUniqueName="[compliance].[Criterion - name - EU].[All]" allUniqueName="[compliance].[Criterion - name - EU].[All]" dimensionUniqueName="[compliance]" displayFolder="" count="2" memberValueDatatype="130" unbalanced="0">
      <fieldsUsage count="2">
        <fieldUsage x="-1"/>
        <fieldUsage x="4"/>
      </fieldsUsage>
    </cacheHierarchy>
    <cacheHierarchy uniqueName="[compliance].[Guideline]" caption="Guideline" attribute="1" defaultMemberUniqueName="[compliance].[Guideline].[All]" allUniqueName="[compliance].[Guideline].[All]" dimensionUniqueName="[compliance]" displayFolder="" count="2" memberValueDatatype="130" unbalanced="0">
      <fieldsUsage count="2">
        <fieldUsage x="-1"/>
        <fieldUsage x="3"/>
      </fieldsUsage>
    </cacheHierarchy>
    <cacheHierarchy uniqueName="[compliance].[Principle]" caption="Principle" attribute="1" defaultMemberUniqueName="[compliance].[Principle].[All]" allUniqueName="[compliance].[Principle].[All]" dimensionUniqueName="[compliance]" displayFolder="" count="2" memberValueDatatype="130" unbalanced="0">
      <fieldsUsage count="2">
        <fieldUsage x="-1"/>
        <fieldUsage x="2"/>
      </fieldsUsage>
    </cacheHierarchy>
    <cacheHierarchy uniqueName="[compliance].[Level]" caption="Level" attribute="1" defaultMemberUniqueName="[compliance].[Level].[All]" allUniqueName="[compliance].[Level].[All]" dimensionUniqueName="[compliance]" displayFolder="" count="0" memberValueDatatype="130" unbalanced="0"/>
    <cacheHierarchy uniqueName="[compliance].[GuidelinId]" caption="GuidelinId" attribute="1" defaultMemberUniqueName="[compliance].[GuidelinId].[All]" allUniqueName="[compliance].[GuidelinId].[All]" dimensionUniqueName="[compliance]" displayFolder="" count="0" memberValueDatatype="130" unbalanced="0"/>
    <cacheHierarchy uniqueName="[Measures].[__XL_Count compliance]" caption="__XL_Count compliance" measure="1" displayFolder="" measureGroup="compliance" count="0" hidden="1"/>
    <cacheHierarchy uniqueName="[Measures].[__No measures defined]" caption="__No measures defined" measure="1" displayFolder="" count="0" hidden="1"/>
    <cacheHierarchy uniqueName="[Measures].[Sum of violations]" caption="Sum of violations" measure="1" displayFolder="" measureGroup="compliance"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2">
    <dimension name="compliance" uniqueName="[compliance]" caption="compliance"/>
    <dimension measure="1" name="Measures" uniqueName="[Measures]" caption="Measures"/>
  </dimensions>
  <measureGroups count="1">
    <measureGroup name="compliance" caption="complian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nstantinos" refreshedDate="46057.783559837961" backgroundQuery="1" createdVersion="8" refreshedVersion="8" minRefreshableVersion="3" recordCount="0" supportSubquery="1" supportAdvancedDrill="1" xr:uid="{A511B38C-E33B-4969-B571-7062E8DD1888}">
  <cacheSource type="external" connectionId="5"/>
  <cacheFields count="6">
    <cacheField name="[compliance].[pageId].[pageId]" caption="pageId" numFmtId="0" hierarchy="3" level="1">
      <sharedItems count="3">
        <s v="faq"/>
        <s v="home"/>
        <s v="login"/>
      </sharedItems>
    </cacheField>
    <cacheField name="[compliance].[criterionId].[criterionId]" caption="criterionId" numFmtId="0" level="1">
      <sharedItems count="5">
        <s v="1.1.1"/>
        <s v="1.4.3"/>
        <s v="2.4.4"/>
        <s v="3.1.1"/>
        <s v="4.1.2"/>
      </sharedItems>
    </cacheField>
    <cacheField name="[Measures].[Sum of violations]" caption="Sum of violations" numFmtId="0" hierarchy="16" level="32767"/>
    <cacheField name="[compliance].[Principle].[Principle]" caption="Principle" numFmtId="0" hierarchy="11" level="1">
      <sharedItems containsSemiMixedTypes="0" containsNonDate="0" containsString="0"/>
    </cacheField>
    <cacheField name="[compliance].[Guideline].[Guideline]" caption="Guideline" numFmtId="0" hierarchy="10" level="1">
      <sharedItems containsSemiMixedTypes="0" containsNonDate="0" containsString="0"/>
    </cacheField>
    <cacheField name="[compliance].[Criterion - name - EU].[Criterion - name - EU]" caption="Criterion - name - EU" numFmtId="0" hierarchy="9" level="1">
      <sharedItems containsSemiMixedTypes="0" containsNonDate="0" containsString="0"/>
    </cacheField>
  </cacheFields>
  <cacheHierarchies count="17">
    <cacheHierarchy uniqueName="[compliance].[criterionId]" caption="criterionId" attribute="1" defaultMemberUniqueName="[compliance].[criterionId].[All]" allUniqueName="[compliance].[criterionId].[All]" dimensionUniqueName="[compliance]" displayFolder="" count="2" memberValueDatatype="130" unbalanced="0">
      <fieldsUsage count="2">
        <fieldUsage x="-1"/>
        <fieldUsage x="1"/>
      </fieldsUsage>
    </cacheHierarchy>
    <cacheHierarchy uniqueName="[compliance].[violations]" caption="violations" attribute="1" defaultMemberUniqueName="[compliance].[violations].[All]" allUniqueName="[compliance].[violations].[All]" dimensionUniqueName="[compliance]" displayFolder="" count="0" memberValueDatatype="20" unbalanced="0"/>
    <cacheHierarchy uniqueName="[compliance].[severity]" caption="severity" attribute="1" defaultMemberUniqueName="[compliance].[severity].[All]" allUniqueName="[compliance].[severity].[All]" dimensionUniqueName="[compliance]" displayFolder="" count="0" memberValueDatatype="130" unbalanced="0"/>
    <cacheHierarchy uniqueName="[compliance].[pageId]" caption="pageId" attribute="1" defaultMemberUniqueName="[compliance].[pageId].[All]" allUniqueName="[compliance].[pageId].[All]" dimensionUniqueName="[compliance]" displayFolder="" count="2" memberValueDatatype="130" unbalanced="0">
      <fieldsUsage count="2">
        <fieldUsage x="-1"/>
        <fieldUsage x="0"/>
      </fieldsUsage>
    </cacheHierarchy>
    <cacheHierarchy uniqueName="[compliance].[pageUrl]" caption="pageUrl" attribute="1" defaultMemberUniqueName="[compliance].[pageUrl].[All]" allUniqueName="[compliance].[pageUrl].[All]" dimensionUniqueName="[compliance]" displayFolder="" count="0" memberValueDatatype="130" unbalanced="0"/>
    <cacheHierarchy uniqueName="[compliance].[auditRunId]" caption="auditRunId" attribute="1" defaultMemberUniqueName="[compliance].[auditRunId].[All]" allUniqueName="[compliance].[auditRunId].[All]" dimensionUniqueName="[compliance]" displayFolder="" count="0" memberValueDatatype="130" unbalanced="0"/>
    <cacheHierarchy uniqueName="[compliance].[startedAt]" caption="startedAt" attribute="1" time="1" defaultMemberUniqueName="[compliance].[startedAt].[All]" allUniqueName="[compliance].[startedAt].[All]" dimensionUniqueName="[compliance]" displayFolder="" count="0" memberValueDatatype="7" unbalanced="0"/>
    <cacheHierarchy uniqueName="[compliance].[finishedAt]" caption="finishedAt" attribute="1" time="1" defaultMemberUniqueName="[compliance].[finishedAt].[All]" allUniqueName="[compliance].[finishedAt].[All]" dimensionUniqueName="[compliance]" displayFolder="" count="0" memberValueDatatype="7" unbalanced="0"/>
    <cacheHierarchy uniqueName="[compliance].[siteId]" caption="siteId" attribute="1" defaultMemberUniqueName="[compliance].[siteId].[All]" allUniqueName="[compliance].[siteId].[All]" dimensionUniqueName="[compliance]" displayFolder="" count="0" memberValueDatatype="130" unbalanced="0"/>
    <cacheHierarchy uniqueName="[compliance].[Criterion - name - EU]" caption="Criterion - name - EU" attribute="1" defaultMemberUniqueName="[compliance].[Criterion - name - EU].[All]" allUniqueName="[compliance].[Criterion - name - EU].[All]" dimensionUniqueName="[compliance]" displayFolder="" count="2" memberValueDatatype="130" unbalanced="0">
      <fieldsUsage count="2">
        <fieldUsage x="-1"/>
        <fieldUsage x="5"/>
      </fieldsUsage>
    </cacheHierarchy>
    <cacheHierarchy uniqueName="[compliance].[Guideline]" caption="Guideline" attribute="1" defaultMemberUniqueName="[compliance].[Guideline].[All]" allUniqueName="[compliance].[Guideline].[All]" dimensionUniqueName="[compliance]" displayFolder="" count="2" memberValueDatatype="130" unbalanced="0">
      <fieldsUsage count="2">
        <fieldUsage x="-1"/>
        <fieldUsage x="4"/>
      </fieldsUsage>
    </cacheHierarchy>
    <cacheHierarchy uniqueName="[compliance].[Principle]" caption="Principle" attribute="1" defaultMemberUniqueName="[compliance].[Principle].[All]" allUniqueName="[compliance].[Principle].[All]" dimensionUniqueName="[compliance]" displayFolder="" count="2" memberValueDatatype="130" unbalanced="0">
      <fieldsUsage count="2">
        <fieldUsage x="-1"/>
        <fieldUsage x="3"/>
      </fieldsUsage>
    </cacheHierarchy>
    <cacheHierarchy uniqueName="[compliance].[Level]" caption="Level" attribute="1" defaultMemberUniqueName="[compliance].[Level].[All]" allUniqueName="[compliance].[Level].[All]" dimensionUniqueName="[compliance]" displayFolder="" count="0" memberValueDatatype="130" unbalanced="0"/>
    <cacheHierarchy uniqueName="[compliance].[GuidelinId]" caption="GuidelinId" attribute="1" defaultMemberUniqueName="[compliance].[GuidelinId].[All]" allUniqueName="[compliance].[GuidelinId].[All]" dimensionUniqueName="[compliance]" displayFolder="" count="0" memberValueDatatype="130" unbalanced="0"/>
    <cacheHierarchy uniqueName="[Measures].[__XL_Count compliance]" caption="__XL_Count compliance" measure="1" displayFolder="" measureGroup="compliance" count="0" hidden="1"/>
    <cacheHierarchy uniqueName="[Measures].[__No measures defined]" caption="__No measures defined" measure="1" displayFolder="" count="0" hidden="1"/>
    <cacheHierarchy uniqueName="[Measures].[Sum of violations]" caption="Sum of violations" measure="1" displayFolder="" measureGroup="compliance" count="0" oneField="1" hidden="1">
      <fieldsUsage count="1">
        <fieldUsage x="2"/>
      </fieldsUsage>
      <extLst>
        <ext xmlns:x15="http://schemas.microsoft.com/office/spreadsheetml/2010/11/main" uri="{B97F6D7D-B522-45F9-BDA1-12C45D357490}">
          <x15:cacheHierarchy aggregatedColumn="1"/>
        </ext>
      </extLst>
    </cacheHierarchy>
  </cacheHierarchies>
  <kpis count="0"/>
  <dimensions count="2">
    <dimension name="compliance" uniqueName="[compliance]" caption="compliance"/>
    <dimension measure="1" name="Measures" uniqueName="[Measures]" caption="Measures"/>
  </dimensions>
  <measureGroups count="1">
    <measureGroup name="compliance" caption="complian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nstantinos" refreshedDate="46057.783560648146" backgroundQuery="1" createdVersion="8" refreshedVersion="8" minRefreshableVersion="3" recordCount="0" supportSubquery="1" supportAdvancedDrill="1" xr:uid="{C7AA28AF-E205-45D9-B2D1-DD96BB534C94}">
  <cacheSource type="external" connectionId="5"/>
  <cacheFields count="5">
    <cacheField name="[compliance].[Criterion - name - EU].[Criterion - name - EU]" caption="Criterion - name - EU" numFmtId="0" hierarchy="9" level="1">
      <sharedItems count="5">
        <s v="1.1.1 - Non-text content - 9.1.1.1"/>
        <s v="1.4.3 - Contrast (minimum) - 9.1.4.3"/>
        <s v="2.4.4 - Link purpose (in context) - 9.2.4.4"/>
        <s v="3.1.1 - Language of page - 9.3.1.1"/>
        <s v="4.1.2 - Name, role, value - 9.4.1.2"/>
      </sharedItems>
    </cacheField>
    <cacheField name="[Measures].[Sum of violations]" caption="Sum of violations" numFmtId="0" hierarchy="16" level="32767"/>
    <cacheField name="[compliance].[pageId].[pageId]" caption="pageId" numFmtId="0" hierarchy="3" level="1">
      <sharedItems containsSemiMixedTypes="0" containsNonDate="0" containsString="0"/>
    </cacheField>
    <cacheField name="[compliance].[Principle].[Principle]" caption="Principle" numFmtId="0" hierarchy="11" level="1">
      <sharedItems containsSemiMixedTypes="0" containsNonDate="0" containsString="0"/>
    </cacheField>
    <cacheField name="[compliance].[Guideline].[Guideline]" caption="Guideline" numFmtId="0" hierarchy="10" level="1">
      <sharedItems containsSemiMixedTypes="0" containsNonDate="0" containsString="0"/>
    </cacheField>
  </cacheFields>
  <cacheHierarchies count="17">
    <cacheHierarchy uniqueName="[compliance].[criterionId]" caption="criterionId" attribute="1" defaultMemberUniqueName="[compliance].[criterionId].[All]" allUniqueName="[compliance].[criterionId].[All]" dimensionUniqueName="[compliance]" displayFolder="" count="0" memberValueDatatype="130" unbalanced="0"/>
    <cacheHierarchy uniqueName="[compliance].[violations]" caption="violations" attribute="1" defaultMemberUniqueName="[compliance].[violations].[All]" allUniqueName="[compliance].[violations].[All]" dimensionUniqueName="[compliance]" displayFolder="" count="0" memberValueDatatype="20" unbalanced="0"/>
    <cacheHierarchy uniqueName="[compliance].[severity]" caption="severity" attribute="1" defaultMemberUniqueName="[compliance].[severity].[All]" allUniqueName="[compliance].[severity].[All]" dimensionUniqueName="[compliance]" displayFolder="" count="0" memberValueDatatype="130" unbalanced="0"/>
    <cacheHierarchy uniqueName="[compliance].[pageId]" caption="pageId" attribute="1" defaultMemberUniqueName="[compliance].[pageId].[All]" allUniqueName="[compliance].[pageId].[All]" dimensionUniqueName="[compliance]" displayFolder="" count="2" memberValueDatatype="130" unbalanced="0">
      <fieldsUsage count="2">
        <fieldUsage x="-1"/>
        <fieldUsage x="2"/>
      </fieldsUsage>
    </cacheHierarchy>
    <cacheHierarchy uniqueName="[compliance].[pageUrl]" caption="pageUrl" attribute="1" defaultMemberUniqueName="[compliance].[pageUrl].[All]" allUniqueName="[compliance].[pageUrl].[All]" dimensionUniqueName="[compliance]" displayFolder="" count="0" memberValueDatatype="130" unbalanced="0"/>
    <cacheHierarchy uniqueName="[compliance].[auditRunId]" caption="auditRunId" attribute="1" defaultMemberUniqueName="[compliance].[auditRunId].[All]" allUniqueName="[compliance].[auditRunId].[All]" dimensionUniqueName="[compliance]" displayFolder="" count="0" memberValueDatatype="130" unbalanced="0"/>
    <cacheHierarchy uniqueName="[compliance].[startedAt]" caption="startedAt" attribute="1" time="1" defaultMemberUniqueName="[compliance].[startedAt].[All]" allUniqueName="[compliance].[startedAt].[All]" dimensionUniqueName="[compliance]" displayFolder="" count="0" memberValueDatatype="7" unbalanced="0"/>
    <cacheHierarchy uniqueName="[compliance].[finishedAt]" caption="finishedAt" attribute="1" time="1" defaultMemberUniqueName="[compliance].[finishedAt].[All]" allUniqueName="[compliance].[finishedAt].[All]" dimensionUniqueName="[compliance]" displayFolder="" count="0" memberValueDatatype="7" unbalanced="0"/>
    <cacheHierarchy uniqueName="[compliance].[siteId]" caption="siteId" attribute="1" defaultMemberUniqueName="[compliance].[siteId].[All]" allUniqueName="[compliance].[siteId].[All]" dimensionUniqueName="[compliance]" displayFolder="" count="0" memberValueDatatype="130" unbalanced="0"/>
    <cacheHierarchy uniqueName="[compliance].[Criterion - name - EU]" caption="Criterion - name - EU" attribute="1" defaultMemberUniqueName="[compliance].[Criterion - name - EU].[All]" allUniqueName="[compliance].[Criterion - name - EU].[All]" dimensionUniqueName="[compliance]" displayFolder="" count="2" memberValueDatatype="130" unbalanced="0">
      <fieldsUsage count="2">
        <fieldUsage x="-1"/>
        <fieldUsage x="0"/>
      </fieldsUsage>
    </cacheHierarchy>
    <cacheHierarchy uniqueName="[compliance].[Guideline]" caption="Guideline" attribute="1" defaultMemberUniqueName="[compliance].[Guideline].[All]" allUniqueName="[compliance].[Guideline].[All]" dimensionUniqueName="[compliance]" displayFolder="" count="2" memberValueDatatype="130" unbalanced="0">
      <fieldsUsage count="2">
        <fieldUsage x="-1"/>
        <fieldUsage x="4"/>
      </fieldsUsage>
    </cacheHierarchy>
    <cacheHierarchy uniqueName="[compliance].[Principle]" caption="Principle" attribute="1" defaultMemberUniqueName="[compliance].[Principle].[All]" allUniqueName="[compliance].[Principle].[All]" dimensionUniqueName="[compliance]" displayFolder="" count="2" memberValueDatatype="130" unbalanced="0">
      <fieldsUsage count="2">
        <fieldUsage x="-1"/>
        <fieldUsage x="3"/>
      </fieldsUsage>
    </cacheHierarchy>
    <cacheHierarchy uniqueName="[compliance].[Level]" caption="Level" attribute="1" defaultMemberUniqueName="[compliance].[Level].[All]" allUniqueName="[compliance].[Level].[All]" dimensionUniqueName="[compliance]" displayFolder="" count="0" memberValueDatatype="130" unbalanced="0"/>
    <cacheHierarchy uniqueName="[compliance].[GuidelinId]" caption="GuidelinId" attribute="1" defaultMemberUniqueName="[compliance].[GuidelinId].[All]" allUniqueName="[compliance].[GuidelinId].[All]" dimensionUniqueName="[compliance]" displayFolder="" count="0" memberValueDatatype="130" unbalanced="0"/>
    <cacheHierarchy uniqueName="[Measures].[__XL_Count compliance]" caption="__XL_Count compliance" measure="1" displayFolder="" measureGroup="compliance" count="0" hidden="1"/>
    <cacheHierarchy uniqueName="[Measures].[__No measures defined]" caption="__No measures defined" measure="1" displayFolder="" count="0" hidden="1"/>
    <cacheHierarchy uniqueName="[Measures].[Sum of violations]" caption="Sum of violations" measure="1" displayFolder="" measureGroup="compliance"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2">
    <dimension name="compliance" uniqueName="[compliance]" caption="compliance"/>
    <dimension measure="1" name="Measures" uniqueName="[Measures]" caption="Measures"/>
  </dimensions>
  <measureGroups count="1">
    <measureGroup name="compliance" caption="complian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nstantinos" refreshedDate="46057.783561574077" backgroundQuery="1" createdVersion="8" refreshedVersion="8" minRefreshableVersion="3" recordCount="0" supportSubquery="1" supportAdvancedDrill="1" xr:uid="{67A9C4E4-6152-4601-9946-E6FAEA86DC42}">
  <cacheSource type="external" connectionId="5"/>
  <cacheFields count="5">
    <cacheField name="[compliance].[Guideline].[Guideline]" caption="Guideline" numFmtId="0" hierarchy="10" level="1">
      <sharedItems count="5">
        <s v="1.1 - Text Alternatives"/>
        <s v="1.4 - Distinguishable"/>
        <s v="2.4 - Navigable"/>
        <s v="3.1 - Readable"/>
        <s v="4.1 - Compatible"/>
      </sharedItems>
    </cacheField>
    <cacheField name="[Measures].[Sum of violations]" caption="Sum of violations" numFmtId="0" hierarchy="16" level="32767"/>
    <cacheField name="[compliance].[pageId].[pageId]" caption="pageId" numFmtId="0" hierarchy="3" level="1">
      <sharedItems containsSemiMixedTypes="0" containsNonDate="0" containsString="0"/>
    </cacheField>
    <cacheField name="[compliance].[Principle].[Principle]" caption="Principle" numFmtId="0" hierarchy="11" level="1">
      <sharedItems containsSemiMixedTypes="0" containsNonDate="0" containsString="0"/>
    </cacheField>
    <cacheField name="[compliance].[Criterion - name - EU].[Criterion - name - EU]" caption="Criterion - name - EU" numFmtId="0" hierarchy="9" level="1">
      <sharedItems containsSemiMixedTypes="0" containsNonDate="0" containsString="0"/>
    </cacheField>
  </cacheFields>
  <cacheHierarchies count="17">
    <cacheHierarchy uniqueName="[compliance].[criterionId]" caption="criterionId" attribute="1" defaultMemberUniqueName="[compliance].[criterionId].[All]" allUniqueName="[compliance].[criterionId].[All]" dimensionUniqueName="[compliance]" displayFolder="" count="0" memberValueDatatype="130" unbalanced="0"/>
    <cacheHierarchy uniqueName="[compliance].[violations]" caption="violations" attribute="1" defaultMemberUniqueName="[compliance].[violations].[All]" allUniqueName="[compliance].[violations].[All]" dimensionUniqueName="[compliance]" displayFolder="" count="0" memberValueDatatype="20" unbalanced="0"/>
    <cacheHierarchy uniqueName="[compliance].[severity]" caption="severity" attribute="1" defaultMemberUniqueName="[compliance].[severity].[All]" allUniqueName="[compliance].[severity].[All]" dimensionUniqueName="[compliance]" displayFolder="" count="0" memberValueDatatype="130" unbalanced="0"/>
    <cacheHierarchy uniqueName="[compliance].[pageId]" caption="pageId" attribute="1" defaultMemberUniqueName="[compliance].[pageId].[All]" allUniqueName="[compliance].[pageId].[All]" dimensionUniqueName="[compliance]" displayFolder="" count="2" memberValueDatatype="130" unbalanced="0">
      <fieldsUsage count="2">
        <fieldUsage x="-1"/>
        <fieldUsage x="2"/>
      </fieldsUsage>
    </cacheHierarchy>
    <cacheHierarchy uniqueName="[compliance].[pageUrl]" caption="pageUrl" attribute="1" defaultMemberUniqueName="[compliance].[pageUrl].[All]" allUniqueName="[compliance].[pageUrl].[All]" dimensionUniqueName="[compliance]" displayFolder="" count="0" memberValueDatatype="130" unbalanced="0"/>
    <cacheHierarchy uniqueName="[compliance].[auditRunId]" caption="auditRunId" attribute="1" defaultMemberUniqueName="[compliance].[auditRunId].[All]" allUniqueName="[compliance].[auditRunId].[All]" dimensionUniqueName="[compliance]" displayFolder="" count="0" memberValueDatatype="130" unbalanced="0"/>
    <cacheHierarchy uniqueName="[compliance].[startedAt]" caption="startedAt" attribute="1" time="1" defaultMemberUniqueName="[compliance].[startedAt].[All]" allUniqueName="[compliance].[startedAt].[All]" dimensionUniqueName="[compliance]" displayFolder="" count="0" memberValueDatatype="7" unbalanced="0"/>
    <cacheHierarchy uniqueName="[compliance].[finishedAt]" caption="finishedAt" attribute="1" time="1" defaultMemberUniqueName="[compliance].[finishedAt].[All]" allUniqueName="[compliance].[finishedAt].[All]" dimensionUniqueName="[compliance]" displayFolder="" count="0" memberValueDatatype="7" unbalanced="0"/>
    <cacheHierarchy uniqueName="[compliance].[siteId]" caption="siteId" attribute="1" defaultMemberUniqueName="[compliance].[siteId].[All]" allUniqueName="[compliance].[siteId].[All]" dimensionUniqueName="[compliance]" displayFolder="" count="0" memberValueDatatype="130" unbalanced="0"/>
    <cacheHierarchy uniqueName="[compliance].[Criterion - name - EU]" caption="Criterion - name - EU" attribute="1" defaultMemberUniqueName="[compliance].[Criterion - name - EU].[All]" allUniqueName="[compliance].[Criterion - name - EU].[All]" dimensionUniqueName="[compliance]" displayFolder="" count="2" memberValueDatatype="130" unbalanced="0">
      <fieldsUsage count="2">
        <fieldUsage x="-1"/>
        <fieldUsage x="4"/>
      </fieldsUsage>
    </cacheHierarchy>
    <cacheHierarchy uniqueName="[compliance].[Guideline]" caption="Guideline" attribute="1" defaultMemberUniqueName="[compliance].[Guideline].[All]" allUniqueName="[compliance].[Guideline].[All]" dimensionUniqueName="[compliance]" displayFolder="" count="2" memberValueDatatype="130" unbalanced="0">
      <fieldsUsage count="2">
        <fieldUsage x="-1"/>
        <fieldUsage x="0"/>
      </fieldsUsage>
    </cacheHierarchy>
    <cacheHierarchy uniqueName="[compliance].[Principle]" caption="Principle" attribute="1" defaultMemberUniqueName="[compliance].[Principle].[All]" allUniqueName="[compliance].[Principle].[All]" dimensionUniqueName="[compliance]" displayFolder="" count="2" memberValueDatatype="130" unbalanced="0">
      <fieldsUsage count="2">
        <fieldUsage x="-1"/>
        <fieldUsage x="3"/>
      </fieldsUsage>
    </cacheHierarchy>
    <cacheHierarchy uniqueName="[compliance].[Level]" caption="Level" attribute="1" defaultMemberUniqueName="[compliance].[Level].[All]" allUniqueName="[compliance].[Level].[All]" dimensionUniqueName="[compliance]" displayFolder="" count="0" memberValueDatatype="130" unbalanced="0"/>
    <cacheHierarchy uniqueName="[compliance].[GuidelinId]" caption="GuidelinId" attribute="1" defaultMemberUniqueName="[compliance].[GuidelinId].[All]" allUniqueName="[compliance].[GuidelinId].[All]" dimensionUniqueName="[compliance]" displayFolder="" count="0" memberValueDatatype="130" unbalanced="0"/>
    <cacheHierarchy uniqueName="[Measures].[__XL_Count compliance]" caption="__XL_Count compliance" measure="1" displayFolder="" measureGroup="compliance" count="0" hidden="1"/>
    <cacheHierarchy uniqueName="[Measures].[__No measures defined]" caption="__No measures defined" measure="1" displayFolder="" count="0" hidden="1"/>
    <cacheHierarchy uniqueName="[Measures].[Sum of violations]" caption="Sum of violations" measure="1" displayFolder="" measureGroup="compliance"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2">
    <dimension name="compliance" uniqueName="[compliance]" caption="compliance"/>
    <dimension measure="1" name="Measures" uniqueName="[Measures]" caption="Measures"/>
  </dimensions>
  <measureGroups count="1">
    <measureGroup name="compliance" caption="complian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nstantinos" refreshedDate="46057.783562500001" backgroundQuery="1" createdVersion="8" refreshedVersion="8" minRefreshableVersion="3" recordCount="0" supportSubquery="1" supportAdvancedDrill="1" xr:uid="{B43DFA94-63DA-418C-A601-11B8A1AB87B7}">
  <cacheSource type="external" connectionId="5"/>
  <cacheFields count="6">
    <cacheField name="[compliance].[Criterion - name - EU].[Criterion - name - EU]" caption="Criterion - name - EU" numFmtId="0" hierarchy="9" level="1">
      <sharedItems count="5">
        <s v="2.4.4 - Link purpose (in context) - 9.2.4.4"/>
        <s v="1.1.1 - Non-text content - 9.1.1.1"/>
        <s v="1.4.3 - Contrast (minimum) - 9.1.4.3"/>
        <s v="4.1.2 - Name, role, value - 9.4.1.2"/>
        <s v="3.1.1 - Language of page - 9.3.1.1"/>
      </sharedItems>
    </cacheField>
    <cacheField name="[compliance].[pageId].[pageId]" caption="pageId" numFmtId="0" hierarchy="3" level="1">
      <sharedItems count="3">
        <s v="faq"/>
        <s v="home"/>
        <s v="login"/>
      </sharedItems>
    </cacheField>
    <cacheField name="[compliance].[Principle].[Principle]" caption="Principle" numFmtId="0" hierarchy="11" level="1">
      <sharedItems count="4">
        <s v="Operable"/>
        <s v="Perceivable"/>
        <s v="Robust"/>
        <s v="Understandable"/>
      </sharedItems>
    </cacheField>
    <cacheField name="[compliance].[GuidelinId].[GuidelinId]" caption="GuidelinId" numFmtId="0" hierarchy="13" level="1">
      <sharedItems count="5">
        <s v="2.4"/>
        <s v="1.1"/>
        <s v="1.4"/>
        <s v="4.1"/>
        <s v="3.1"/>
      </sharedItems>
    </cacheField>
    <cacheField name="[Measures].[Sum of violations]" caption="Sum of violations" numFmtId="0" hierarchy="16" level="32767"/>
    <cacheField name="[compliance].[Guideline].[Guideline]" caption="Guideline" numFmtId="0" hierarchy="10" level="1">
      <sharedItems containsSemiMixedTypes="0" containsNonDate="0" containsString="0"/>
    </cacheField>
  </cacheFields>
  <cacheHierarchies count="17">
    <cacheHierarchy uniqueName="[compliance].[criterionId]" caption="criterionId" attribute="1" defaultMemberUniqueName="[compliance].[criterionId].[All]" allUniqueName="[compliance].[criterionId].[All]" dimensionUniqueName="[compliance]" displayFolder="" count="0" memberValueDatatype="130" unbalanced="0"/>
    <cacheHierarchy uniqueName="[compliance].[violations]" caption="violations" attribute="1" defaultMemberUniqueName="[compliance].[violations].[All]" allUniqueName="[compliance].[violations].[All]" dimensionUniqueName="[compliance]" displayFolder="" count="0" memberValueDatatype="20" unbalanced="0"/>
    <cacheHierarchy uniqueName="[compliance].[severity]" caption="severity" attribute="1" defaultMemberUniqueName="[compliance].[severity].[All]" allUniqueName="[compliance].[severity].[All]" dimensionUniqueName="[compliance]" displayFolder="" count="0" memberValueDatatype="130" unbalanced="0"/>
    <cacheHierarchy uniqueName="[compliance].[pageId]" caption="pageId" attribute="1" defaultMemberUniqueName="[compliance].[pageId].[All]" allUniqueName="[compliance].[pageId].[All]" dimensionUniqueName="[compliance]" displayFolder="" count="2" memberValueDatatype="130" unbalanced="0">
      <fieldsUsage count="2">
        <fieldUsage x="-1"/>
        <fieldUsage x="1"/>
      </fieldsUsage>
    </cacheHierarchy>
    <cacheHierarchy uniqueName="[compliance].[pageUrl]" caption="pageUrl" attribute="1" defaultMemberUniqueName="[compliance].[pageUrl].[All]" allUniqueName="[compliance].[pageUrl].[All]" dimensionUniqueName="[compliance]" displayFolder="" count="0" memberValueDatatype="130" unbalanced="0"/>
    <cacheHierarchy uniqueName="[compliance].[auditRunId]" caption="auditRunId" attribute="1" defaultMemberUniqueName="[compliance].[auditRunId].[All]" allUniqueName="[compliance].[auditRunId].[All]" dimensionUniqueName="[compliance]" displayFolder="" count="0" memberValueDatatype="130" unbalanced="0"/>
    <cacheHierarchy uniqueName="[compliance].[startedAt]" caption="startedAt" attribute="1" time="1" defaultMemberUniqueName="[compliance].[startedAt].[All]" allUniqueName="[compliance].[startedAt].[All]" dimensionUniqueName="[compliance]" displayFolder="" count="0" memberValueDatatype="7" unbalanced="0"/>
    <cacheHierarchy uniqueName="[compliance].[finishedAt]" caption="finishedAt" attribute="1" time="1" defaultMemberUniqueName="[compliance].[finishedAt].[All]" allUniqueName="[compliance].[finishedAt].[All]" dimensionUniqueName="[compliance]" displayFolder="" count="0" memberValueDatatype="7" unbalanced="0"/>
    <cacheHierarchy uniqueName="[compliance].[siteId]" caption="siteId" attribute="1" defaultMemberUniqueName="[compliance].[siteId].[All]" allUniqueName="[compliance].[siteId].[All]" dimensionUniqueName="[compliance]" displayFolder="" count="0" memberValueDatatype="130" unbalanced="0"/>
    <cacheHierarchy uniqueName="[compliance].[Criterion - name - EU]" caption="Criterion - name - EU" attribute="1" defaultMemberUniqueName="[compliance].[Criterion - name - EU].[All]" allUniqueName="[compliance].[Criterion - name - EU].[All]" dimensionUniqueName="[compliance]" displayFolder="" count="2" memberValueDatatype="130" unbalanced="0">
      <fieldsUsage count="2">
        <fieldUsage x="-1"/>
        <fieldUsage x="0"/>
      </fieldsUsage>
    </cacheHierarchy>
    <cacheHierarchy uniqueName="[compliance].[Guideline]" caption="Guideline" attribute="1" defaultMemberUniqueName="[compliance].[Guideline].[All]" allUniqueName="[compliance].[Guideline].[All]" dimensionUniqueName="[compliance]" displayFolder="" count="2" memberValueDatatype="130" unbalanced="0">
      <fieldsUsage count="2">
        <fieldUsage x="-1"/>
        <fieldUsage x="5"/>
      </fieldsUsage>
    </cacheHierarchy>
    <cacheHierarchy uniqueName="[compliance].[Principle]" caption="Principle" attribute="1" defaultMemberUniqueName="[compliance].[Principle].[All]" allUniqueName="[compliance].[Principle].[All]" dimensionUniqueName="[compliance]" displayFolder="" count="2" memberValueDatatype="130" unbalanced="0">
      <fieldsUsage count="2">
        <fieldUsage x="-1"/>
        <fieldUsage x="2"/>
      </fieldsUsage>
    </cacheHierarchy>
    <cacheHierarchy uniqueName="[compliance].[Level]" caption="Level" attribute="1" defaultMemberUniqueName="[compliance].[Level].[All]" allUniqueName="[compliance].[Level].[All]" dimensionUniqueName="[compliance]" displayFolder="" count="0" memberValueDatatype="130" unbalanced="0"/>
    <cacheHierarchy uniqueName="[compliance].[GuidelinId]" caption="GuidelinId" attribute="1" defaultMemberUniqueName="[compliance].[GuidelinId].[All]" allUniqueName="[compliance].[GuidelinId].[All]" dimensionUniqueName="[compliance]" displayFolder="" count="2" memberValueDatatype="130" unbalanced="0">
      <fieldsUsage count="2">
        <fieldUsage x="-1"/>
        <fieldUsage x="3"/>
      </fieldsUsage>
    </cacheHierarchy>
    <cacheHierarchy uniqueName="[Measures].[__XL_Count compliance]" caption="__XL_Count compliance" measure="1" displayFolder="" measureGroup="compliance" count="0" hidden="1"/>
    <cacheHierarchy uniqueName="[Measures].[__No measures defined]" caption="__No measures defined" measure="1" displayFolder="" count="0" hidden="1"/>
    <cacheHierarchy uniqueName="[Measures].[Sum of violations]" caption="Sum of violations" measure="1" displayFolder="" measureGroup="compliance" count="0" oneField="1" hidden="1">
      <fieldsUsage count="1">
        <fieldUsage x="4"/>
      </fieldsUsage>
      <extLst>
        <ext xmlns:x15="http://schemas.microsoft.com/office/spreadsheetml/2010/11/main" uri="{B97F6D7D-B522-45F9-BDA1-12C45D357490}">
          <x15:cacheHierarchy aggregatedColumn="1"/>
        </ext>
      </extLst>
    </cacheHierarchy>
  </cacheHierarchies>
  <kpis count="0"/>
  <dimensions count="2">
    <dimension name="compliance" uniqueName="[compliance]" caption="compliance"/>
    <dimension measure="1" name="Measures" uniqueName="[Measures]" caption="Measures"/>
  </dimensions>
  <measureGroups count="1">
    <measureGroup name="compliance" caption="complian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stantinos" refreshedDate="46057.783565509257" createdVersion="8" refreshedVersion="8" minRefreshableVersion="3" recordCount="9" xr:uid="{22A0FDC8-76D6-4589-9A8C-73CEB618F7DC}">
  <cacheSource type="worksheet">
    <worksheetSource name="non_compliance"/>
  </cacheSource>
  <cacheFields count="8">
    <cacheField name="ruleId" numFmtId="0">
      <sharedItems containsBlank="1" count="9">
        <s v="aria-dialog-name"/>
        <s v="heading-order"/>
        <s v="landmark-unique"/>
        <s v="region"/>
        <s v="page-has-heading-one" u="1"/>
        <s v="image-redundant-alt" u="1"/>
        <m u="1"/>
        <s v="landmark-main-is-top-level" u="1"/>
        <s v="landmark-no-duplicate-main" u="1"/>
      </sharedItems>
    </cacheField>
    <cacheField name="occurrences" numFmtId="0">
      <sharedItems containsSemiMixedTypes="0" containsString="0" containsNumber="1" containsInteger="1" minValue="1" maxValue="6"/>
    </cacheField>
    <cacheField name="severity" numFmtId="0">
      <sharedItems containsBlank="1" count="4">
        <s v="high"/>
        <s v="medium"/>
        <s v="low" u="1"/>
        <m u="1"/>
      </sharedItems>
    </cacheField>
    <cacheField name="pageId" numFmtId="0">
      <sharedItems containsBlank="1" count="9">
        <s v="home"/>
        <s v="login"/>
        <s v="faq"/>
        <s v="how-to-get-id" u="1"/>
        <s v="book-appointment" u="1"/>
        <s v="book-appointment-2" u="1"/>
        <s v="news" u="1"/>
        <m u="1"/>
        <s v="search" u="1"/>
      </sharedItems>
    </cacheField>
    <cacheField name="pageUrl" numFmtId="0">
      <sharedItems/>
    </cacheField>
    <cacheField name="auditRunId" numFmtId="0">
      <sharedItems/>
    </cacheField>
    <cacheField name="startedAt" numFmtId="22">
      <sharedItems containsNonDate="0" containsString="0" containsBlank="1"/>
    </cacheField>
    <cacheField name="siteId" numFmtId="0">
      <sharedItems/>
    </cacheField>
  </cacheFields>
  <extLst>
    <ext xmlns:x14="http://schemas.microsoft.com/office/spreadsheetml/2009/9/main" uri="{725AE2AE-9491-48be-B2B4-4EB974FC3084}">
      <x14:pivotCacheDefinition pivotCacheId="121519659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onstantinos" refreshedDate="46057.783557754628" backgroundQuery="1" createdVersion="3" refreshedVersion="8" minRefreshableVersion="3" recordCount="0" supportSubquery="1" supportAdvancedDrill="1" xr:uid="{B967589E-0B0F-4D3D-8AC0-87C3C63DD9CB}">
  <cacheSource type="external" connectionId="5">
    <extLst>
      <ext xmlns:x14="http://schemas.microsoft.com/office/spreadsheetml/2009/9/main" uri="{F057638F-6D5F-4e77-A914-E7F072B9BCA8}">
        <x14:sourceConnection name="ThisWorkbookDataModel"/>
      </ext>
    </extLst>
  </cacheSource>
  <cacheFields count="0"/>
  <cacheHierarchies count="17">
    <cacheHierarchy uniqueName="[compliance].[criterionId]" caption="criterionId" attribute="1" defaultMemberUniqueName="[compliance].[criterionId].[All]" allUniqueName="[compliance].[criterionId].[All]" dimensionUniqueName="[compliance]" displayFolder="" count="0" memberValueDatatype="130" unbalanced="0"/>
    <cacheHierarchy uniqueName="[compliance].[violations]" caption="violations" attribute="1" defaultMemberUniqueName="[compliance].[violations].[All]" allUniqueName="[compliance].[violations].[All]" dimensionUniqueName="[compliance]" displayFolder="" count="0" memberValueDatatype="20" unbalanced="0"/>
    <cacheHierarchy uniqueName="[compliance].[severity]" caption="severity" attribute="1" defaultMemberUniqueName="[compliance].[severity].[All]" allUniqueName="[compliance].[severity].[All]" dimensionUniqueName="[compliance]" displayFolder="" count="0" memberValueDatatype="130" unbalanced="0"/>
    <cacheHierarchy uniqueName="[compliance].[pageId]" caption="pageId" attribute="1" defaultMemberUniqueName="[compliance].[pageId].[All]" allUniqueName="[compliance].[pageId].[All]" dimensionUniqueName="[compliance]" displayFolder="" count="2" memberValueDatatype="130" unbalanced="0"/>
    <cacheHierarchy uniqueName="[compliance].[pageUrl]" caption="pageUrl" attribute="1" defaultMemberUniqueName="[compliance].[pageUrl].[All]" allUniqueName="[compliance].[pageUrl].[All]" dimensionUniqueName="[compliance]" displayFolder="" count="0" memberValueDatatype="130" unbalanced="0"/>
    <cacheHierarchy uniqueName="[compliance].[auditRunId]" caption="auditRunId" attribute="1" defaultMemberUniqueName="[compliance].[auditRunId].[All]" allUniqueName="[compliance].[auditRunId].[All]" dimensionUniqueName="[compliance]" displayFolder="" count="0" memberValueDatatype="130" unbalanced="0"/>
    <cacheHierarchy uniqueName="[compliance].[startedAt]" caption="startedAt" attribute="1" time="1" defaultMemberUniqueName="[compliance].[startedAt].[All]" allUniqueName="[compliance].[startedAt].[All]" dimensionUniqueName="[compliance]" displayFolder="" count="0" memberValueDatatype="7" unbalanced="0"/>
    <cacheHierarchy uniqueName="[compliance].[finishedAt]" caption="finishedAt" attribute="1" time="1" defaultMemberUniqueName="[compliance].[finishedAt].[All]" allUniqueName="[compliance].[finishedAt].[All]" dimensionUniqueName="[compliance]" displayFolder="" count="0" memberValueDatatype="7" unbalanced="0"/>
    <cacheHierarchy uniqueName="[compliance].[siteId]" caption="siteId" attribute="1" defaultMemberUniqueName="[compliance].[siteId].[All]" allUniqueName="[compliance].[siteId].[All]" dimensionUniqueName="[compliance]" displayFolder="" count="0" memberValueDatatype="130" unbalanced="0"/>
    <cacheHierarchy uniqueName="[compliance].[Criterion - name - EU]" caption="Criterion - name - EU" attribute="1" defaultMemberUniqueName="[compliance].[Criterion - name - EU].[All]" allUniqueName="[compliance].[Criterion - name - EU].[All]" dimensionUniqueName="[compliance]" displayFolder="" count="2" memberValueDatatype="130" unbalanced="0"/>
    <cacheHierarchy uniqueName="[compliance].[Guideline]" caption="Guideline" attribute="1" defaultMemberUniqueName="[compliance].[Guideline].[All]" allUniqueName="[compliance].[Guideline].[All]" dimensionUniqueName="[compliance]" displayFolder="" count="2" memberValueDatatype="130" unbalanced="0"/>
    <cacheHierarchy uniqueName="[compliance].[Principle]" caption="Principle" attribute="1" defaultMemberUniqueName="[compliance].[Principle].[All]" allUniqueName="[compliance].[Principle].[All]" dimensionUniqueName="[compliance]" displayFolder="" count="2" memberValueDatatype="130" unbalanced="0"/>
    <cacheHierarchy uniqueName="[compliance].[Level]" caption="Level" attribute="1" defaultMemberUniqueName="[compliance].[Level].[All]" allUniqueName="[compliance].[Level].[All]" dimensionUniqueName="[compliance]" displayFolder="" count="0" memberValueDatatype="130" unbalanced="0"/>
    <cacheHierarchy uniqueName="[compliance].[GuidelinId]" caption="GuidelinId" attribute="1" defaultMemberUniqueName="[compliance].[GuidelinId].[All]" allUniqueName="[compliance].[GuidelinId].[All]" dimensionUniqueName="[compliance]" displayFolder="" count="0" memberValueDatatype="130" unbalanced="0"/>
    <cacheHierarchy uniqueName="[Measures].[__XL_Count compliance]" caption="__XL_Count compliance" measure="1" displayFolder="" measureGroup="compliance" count="0" hidden="1"/>
    <cacheHierarchy uniqueName="[Measures].[__No measures defined]" caption="__No measures defined" measure="1" displayFolder="" count="0" hidden="1"/>
    <cacheHierarchy uniqueName="[Measures].[Sum of violations]" caption="Sum of violations" measure="1" displayFolder="" measureGroup="compliance"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68345158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1"/>
    <x v="0"/>
    <x v="0"/>
    <s v="https://taxportal.mof.gov.cy/"/>
    <s v="run-1769761573308"/>
    <m/>
    <s v="taxportal"/>
  </r>
  <r>
    <x v="1"/>
    <n v="1"/>
    <x v="1"/>
    <x v="0"/>
    <s v="https://taxportal.mof.gov.cy/"/>
    <s v="run-1769761573308"/>
    <m/>
    <s v="taxportal"/>
  </r>
  <r>
    <x v="2"/>
    <n v="1"/>
    <x v="1"/>
    <x v="0"/>
    <s v="https://taxportal.mof.gov.cy/"/>
    <s v="run-1769761573308"/>
    <m/>
    <s v="taxportal"/>
  </r>
  <r>
    <x v="3"/>
    <n v="4"/>
    <x v="1"/>
    <x v="0"/>
    <s v="https://taxportal.mof.gov.cy/"/>
    <s v="run-1769761573308"/>
    <m/>
    <s v="taxportal"/>
  </r>
  <r>
    <x v="0"/>
    <n v="1"/>
    <x v="0"/>
    <x v="1"/>
    <s v="https://taxportal.mof.gov.cy/Account/Login"/>
    <s v="run-1769761573308"/>
    <m/>
    <s v="taxportal"/>
  </r>
  <r>
    <x v="3"/>
    <n v="4"/>
    <x v="1"/>
    <x v="1"/>
    <s v="https://taxportal.mof.gov.cy/Account/Login"/>
    <s v="run-1769761573308"/>
    <m/>
    <s v="taxportal"/>
  </r>
  <r>
    <x v="0"/>
    <n v="1"/>
    <x v="0"/>
    <x v="2"/>
    <s v="https://taxportal.mof.gov.cy/Home/About"/>
    <s v="run-1769761573308"/>
    <m/>
    <s v="taxportal"/>
  </r>
  <r>
    <x v="2"/>
    <n v="1"/>
    <x v="1"/>
    <x v="2"/>
    <s v="https://taxportal.mof.gov.cy/Home/About"/>
    <s v="run-1769761573308"/>
    <m/>
    <s v="taxportal"/>
  </r>
  <r>
    <x v="3"/>
    <n v="6"/>
    <x v="1"/>
    <x v="2"/>
    <s v="https://taxportal.mof.gov.cy/Home/About"/>
    <s v="run-1769761573308"/>
    <m/>
    <s v="taxport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E069AF-38ED-40C5-88E6-03BBC0D8FB48}" name="CompTopCriteria" cacheId="96"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outline="1" outlineData="1" multipleFieldFilters="0" chartFormat="12">
  <location ref="G101:H107" firstHeaderRow="1" firstDataRow="1" firstDataCol="1"/>
  <pivotFields count="5">
    <pivotField axis="axisRow" allDrilled="1" subtotalTop="0" showAll="0"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violations" fld="1" baseField="0" baseItem="0"/>
  </dataField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compliance">
        <x15:activeTabTopLevelEntity name="[compli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E746EF-447E-477A-9E6E-BC7EF16F3DFC}" name="CompPageCriterion" cacheId="93"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outline="1" outlineData="1" multipleFieldFilters="0" chartFormat="11">
  <location ref="D101:E120" firstHeaderRow="1" firstDataRow="1" firstDataCol="1"/>
  <pivotFields count="6">
    <pivotField axis="axisRow" allDrilled="1" subtotalTop="0" showAll="0" defaultSubtotal="0" defaultAttributeDrillState="1">
      <items count="3">
        <item x="0"/>
        <item x="1"/>
        <item x="2"/>
      </items>
    </pivotField>
    <pivotField axis="axisRow" allDrilled="1" subtotalTop="0" showAll="0"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19">
    <i>
      <x/>
    </i>
    <i r="1">
      <x/>
    </i>
    <i r="1">
      <x v="1"/>
    </i>
    <i r="1">
      <x v="2"/>
    </i>
    <i r="1">
      <x v="3"/>
    </i>
    <i r="1">
      <x v="4"/>
    </i>
    <i>
      <x v="1"/>
    </i>
    <i r="1">
      <x/>
    </i>
    <i r="1">
      <x v="1"/>
    </i>
    <i r="1">
      <x v="2"/>
    </i>
    <i r="1">
      <x v="3"/>
    </i>
    <i r="1">
      <x v="4"/>
    </i>
    <i>
      <x v="2"/>
    </i>
    <i r="1">
      <x/>
    </i>
    <i r="1">
      <x v="1"/>
    </i>
    <i r="1">
      <x v="2"/>
    </i>
    <i r="1">
      <x v="3"/>
    </i>
    <i r="1">
      <x v="4"/>
    </i>
    <i t="grand">
      <x/>
    </i>
  </rowItems>
  <colItems count="1">
    <i/>
  </colItems>
  <dataFields count="1">
    <dataField name="Sum of violations" fld="2" baseField="0" baseItem="0"/>
  </dataFields>
  <chartFormats count="1">
    <chartFormat chart="10" format="4"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2">
    <rowHierarchyUsage hierarchyUsage="3"/>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compliance">
        <x15:activeTabTopLevelEntity name="[compli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669C1-CB97-4017-91B5-FA3404478DA0}" name="CompPerPage" cacheId="90"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outline="1" outlineData="1" multipleFieldFilters="0" chartFormat="11">
  <location ref="A101:B105"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violations" fld="1" baseField="0" baseItem="0"/>
  </dataFields>
  <chartFormats count="1">
    <chartFormat chart="10" format="4"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compliance">
        <x15:activeTabTopLevelEntity name="[compli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CE2921-5346-4B78-8BFD-3AFA2E823DBE}" name="CompAll" cacheId="102"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outline="1" outlineData="1" multipleFieldFilters="0" chartFormat="6">
  <location ref="A4:E20" firstHeaderRow="1" firstDataRow="2" firstDataCol="1"/>
  <pivotFields count="6">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3">
        <item x="0"/>
        <item x="1"/>
        <item x="2"/>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3">
    <field x="2"/>
    <field x="3"/>
    <field x="0"/>
  </rowFields>
  <rowItems count="15">
    <i>
      <x/>
    </i>
    <i r="1">
      <x/>
    </i>
    <i r="2">
      <x/>
    </i>
    <i>
      <x v="1"/>
    </i>
    <i r="1">
      <x v="1"/>
    </i>
    <i r="2">
      <x v="1"/>
    </i>
    <i r="1">
      <x v="2"/>
    </i>
    <i r="2">
      <x v="2"/>
    </i>
    <i>
      <x v="2"/>
    </i>
    <i r="1">
      <x v="3"/>
    </i>
    <i r="2">
      <x v="3"/>
    </i>
    <i>
      <x v="3"/>
    </i>
    <i r="1">
      <x v="4"/>
    </i>
    <i r="2">
      <x v="4"/>
    </i>
    <i t="grand">
      <x/>
    </i>
  </rowItems>
  <colFields count="1">
    <field x="1"/>
  </colFields>
  <colItems count="4">
    <i>
      <x/>
    </i>
    <i>
      <x v="1"/>
    </i>
    <i>
      <x v="2"/>
    </i>
    <i t="grand">
      <x/>
    </i>
  </colItems>
  <dataFields count="1">
    <dataField name="Sum of violations" fld="4" baseField="0" baseItem="0"/>
  </dataFields>
  <chartFormats count="3">
    <chartFormat chart="5" format="21" series="1">
      <pivotArea type="data" outline="0" fieldPosition="0">
        <references count="2">
          <reference field="4294967294" count="1" selected="0">
            <x v="0"/>
          </reference>
          <reference field="1" count="1" selected="0">
            <x v="1"/>
          </reference>
        </references>
      </pivotArea>
    </chartFormat>
    <chartFormat chart="5" format="22" series="1">
      <pivotArea type="data" outline="0" fieldPosition="0">
        <references count="2">
          <reference field="4294967294" count="1" selected="0">
            <x v="0"/>
          </reference>
          <reference field="1" count="1" selected="0">
            <x v="2"/>
          </reference>
        </references>
      </pivotArea>
    </chartFormat>
    <chartFormat chart="5" format="23" series="1">
      <pivotArea type="data" outline="0" fieldPosition="0">
        <references count="2">
          <reference field="4294967294" count="1" selected="0">
            <x v="0"/>
          </reference>
          <reference field="1" count="1" selected="0">
            <x v="0"/>
          </reference>
        </references>
      </pivotArea>
    </chartFormat>
  </chart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11"/>
    <rowHierarchyUsage hierarchyUsage="13"/>
    <rowHierarchyUsage hierarchyUsage="9"/>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compliance">
        <x15:activeTabTopLevelEntity name="[compli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9416FBF-BFEE-47C5-9BA0-00B4CFE82345}" name="CompTopGuidelines" cacheId="9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G111:H117" firstHeaderRow="1" firstDataRow="1" firstDataCol="1"/>
  <pivotFields count="5">
    <pivotField axis="axisRow" allDrilled="1" subtotalTop="0" showAll="0"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violations" fld="1" baseField="0" baseItem="0"/>
  </dataField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compliance">
        <x15:activeTabTopLevelEntity name="[compli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A08B0F-9851-4A29-A07E-6884D76B6181}" name="NonCompSeverity" cacheId="10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location ref="Y3:Z6" firstHeaderRow="1" firstDataRow="1" firstDataCol="1"/>
  <pivotFields count="8">
    <pivotField showAll="0">
      <items count="10">
        <item x="0"/>
        <item x="1"/>
        <item m="1" x="5"/>
        <item m="1" x="7"/>
        <item m="1" x="8"/>
        <item x="2"/>
        <item m="1" x="4"/>
        <item x="3"/>
        <item m="1" x="6"/>
        <item t="default"/>
      </items>
    </pivotField>
    <pivotField dataField="1" showAll="0"/>
    <pivotField axis="axisRow" showAll="0">
      <items count="5">
        <item x="0"/>
        <item x="1"/>
        <item m="1" x="3"/>
        <item m="1" x="2"/>
        <item t="default"/>
      </items>
    </pivotField>
    <pivotField showAll="0">
      <items count="10">
        <item m="1" x="4"/>
        <item m="1" x="5"/>
        <item x="2"/>
        <item x="0"/>
        <item m="1" x="3"/>
        <item x="1"/>
        <item m="1" x="6"/>
        <item m="1" x="8"/>
        <item m="1" x="7"/>
        <item t="default"/>
      </items>
    </pivotField>
    <pivotField showAll="0"/>
    <pivotField showAll="0"/>
    <pivotField showAll="0"/>
    <pivotField showAll="0"/>
  </pivotFields>
  <rowFields count="1">
    <field x="2"/>
  </rowFields>
  <rowItems count="3">
    <i>
      <x/>
    </i>
    <i>
      <x v="1"/>
    </i>
    <i t="grand">
      <x/>
    </i>
  </rowItems>
  <colItems count="1">
    <i/>
  </colItems>
  <dataFields count="1">
    <dataField name="Sum of occurrences"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538EF9-DDF6-4E37-BA3F-A3ADAE609833}" name="NonCompSeverityRule" cacheId="10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10">
  <location ref="V3:W10" firstHeaderRow="1" firstDataRow="1" firstDataCol="1"/>
  <pivotFields count="8">
    <pivotField axis="axisRow" showAll="0">
      <items count="10">
        <item x="0"/>
        <item x="1"/>
        <item x="2"/>
        <item x="3"/>
        <item m="1" x="7"/>
        <item m="1" x="8"/>
        <item m="1" x="4"/>
        <item m="1" x="6"/>
        <item m="1" x="5"/>
        <item t="default"/>
      </items>
    </pivotField>
    <pivotField dataField="1" showAll="0"/>
    <pivotField axis="axisRow" showAll="0">
      <items count="5">
        <item x="0"/>
        <item x="1"/>
        <item m="1" x="3"/>
        <item m="1" x="2"/>
        <item t="default"/>
      </items>
    </pivotField>
    <pivotField showAll="0">
      <items count="10">
        <item m="1" x="4"/>
        <item m="1" x="5"/>
        <item x="2"/>
        <item x="0"/>
        <item m="1" x="3"/>
        <item x="1"/>
        <item m="1" x="6"/>
        <item m="1" x="8"/>
        <item m="1" x="7"/>
        <item t="default"/>
      </items>
    </pivotField>
    <pivotField showAll="0"/>
    <pivotField showAll="0"/>
    <pivotField showAll="0"/>
    <pivotField showAll="0"/>
  </pivotFields>
  <rowFields count="2">
    <field x="2"/>
    <field x="0"/>
  </rowFields>
  <rowItems count="7">
    <i>
      <x/>
    </i>
    <i r="1">
      <x/>
    </i>
    <i>
      <x v="1"/>
    </i>
    <i r="1">
      <x v="1"/>
    </i>
    <i r="1">
      <x v="2"/>
    </i>
    <i r="1">
      <x v="3"/>
    </i>
    <i t="grand">
      <x/>
    </i>
  </rowItems>
  <colItems count="1">
    <i/>
  </colItems>
  <dataFields count="1">
    <dataField name="Sum of occurrences" fld="1" baseField="0" baseItem="0"/>
  </dataFields>
  <chartFormats count="2">
    <chartFormat chart="2" format="1"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BFCE77-E267-4F1E-9908-15CAD6A3F254}" name="NonComp" cacheId="10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8">
  <location ref="A3:E11" firstHeaderRow="1" firstDataRow="2" firstDataCol="1"/>
  <pivotFields count="8">
    <pivotField axis="axisRow" showAll="0">
      <items count="10">
        <item x="0"/>
        <item x="1"/>
        <item x="2"/>
        <item x="3"/>
        <item m="1" x="7"/>
        <item m="1" x="8"/>
        <item m="1" x="4"/>
        <item m="1" x="6"/>
        <item m="1" x="5"/>
        <item t="default"/>
      </items>
    </pivotField>
    <pivotField dataField="1" showAll="0"/>
    <pivotField axis="axisRow" showAll="0">
      <items count="5">
        <item x="0"/>
        <item x="1"/>
        <item m="1" x="3"/>
        <item m="1" x="2"/>
        <item t="default"/>
      </items>
    </pivotField>
    <pivotField axis="axisCol" showAll="0">
      <items count="10">
        <item x="2"/>
        <item x="0"/>
        <item x="1"/>
        <item m="1" x="8"/>
        <item m="1" x="7"/>
        <item m="1" x="6"/>
        <item m="1" x="4"/>
        <item m="1" x="5"/>
        <item m="1" x="3"/>
        <item t="default"/>
      </items>
    </pivotField>
    <pivotField showAll="0"/>
    <pivotField showAll="0"/>
    <pivotField showAll="0"/>
    <pivotField showAll="0"/>
  </pivotFields>
  <rowFields count="2">
    <field x="2"/>
    <field x="0"/>
  </rowFields>
  <rowItems count="7">
    <i>
      <x/>
    </i>
    <i r="1">
      <x/>
    </i>
    <i>
      <x v="1"/>
    </i>
    <i r="1">
      <x v="1"/>
    </i>
    <i r="1">
      <x v="2"/>
    </i>
    <i r="1">
      <x v="3"/>
    </i>
    <i t="grand">
      <x/>
    </i>
  </rowItems>
  <colFields count="1">
    <field x="3"/>
  </colFields>
  <colItems count="4">
    <i>
      <x/>
    </i>
    <i>
      <x v="1"/>
    </i>
    <i>
      <x v="2"/>
    </i>
    <i t="grand">
      <x/>
    </i>
  </colItems>
  <dataFields count="1">
    <dataField name="Sum of occurrences" fld="1" baseField="0" baseItem="0"/>
  </dataFields>
  <chartFormats count="15">
    <chartFormat chart="5" format="9" series="1">
      <pivotArea type="data" outline="0" fieldPosition="0">
        <references count="2">
          <reference field="4294967294" count="1" selected="0">
            <x v="0"/>
          </reference>
          <reference field="3" count="1" selected="0">
            <x v="0"/>
          </reference>
        </references>
      </pivotArea>
    </chartFormat>
    <chartFormat chart="5" format="10" series="1">
      <pivotArea type="data" outline="0" fieldPosition="0">
        <references count="2">
          <reference field="4294967294" count="1" selected="0">
            <x v="0"/>
          </reference>
          <reference field="3" count="1" selected="0">
            <x v="1"/>
          </reference>
        </references>
      </pivotArea>
    </chartFormat>
    <chartFormat chart="5" format="11" series="1">
      <pivotArea type="data" outline="0" fieldPosition="0">
        <references count="2">
          <reference field="4294967294" count="1" selected="0">
            <x v="0"/>
          </reference>
          <reference field="3" count="1" selected="0">
            <x v="2"/>
          </reference>
        </references>
      </pivotArea>
    </chartFormat>
    <chartFormat chart="6" format="12" series="1">
      <pivotArea type="data" outline="0" fieldPosition="0">
        <references count="2">
          <reference field="4294967294" count="1" selected="0">
            <x v="0"/>
          </reference>
          <reference field="3" count="1" selected="0">
            <x v="0"/>
          </reference>
        </references>
      </pivotArea>
    </chartFormat>
    <chartFormat chart="6" format="13" series="1">
      <pivotArea type="data" outline="0" fieldPosition="0">
        <references count="2">
          <reference field="4294967294" count="1" selected="0">
            <x v="0"/>
          </reference>
          <reference field="3" count="1" selected="0">
            <x v="1"/>
          </reference>
        </references>
      </pivotArea>
    </chartFormat>
    <chartFormat chart="6" format="14" series="1">
      <pivotArea type="data" outline="0" fieldPosition="0">
        <references count="2">
          <reference field="4294967294" count="1" selected="0">
            <x v="0"/>
          </reference>
          <reference field="3" count="1" selected="0">
            <x v="2"/>
          </reference>
        </references>
      </pivotArea>
    </chartFormat>
    <chartFormat chart="7" format="12" series="1">
      <pivotArea type="data" outline="0" fieldPosition="0">
        <references count="2">
          <reference field="4294967294" count="1" selected="0">
            <x v="0"/>
          </reference>
          <reference field="3" count="1" selected="0">
            <x v="0"/>
          </reference>
        </references>
      </pivotArea>
    </chartFormat>
    <chartFormat chart="7" format="13" series="1">
      <pivotArea type="data" outline="0" fieldPosition="0">
        <references count="2">
          <reference field="4294967294" count="1" selected="0">
            <x v="0"/>
          </reference>
          <reference field="3" count="1" selected="0">
            <x v="1"/>
          </reference>
        </references>
      </pivotArea>
    </chartFormat>
    <chartFormat chart="7" format="14" series="1">
      <pivotArea type="data" outline="0" fieldPosition="0">
        <references count="2">
          <reference field="4294967294" count="1" selected="0">
            <x v="0"/>
          </reference>
          <reference field="3" count="1" selected="0">
            <x v="2"/>
          </reference>
        </references>
      </pivotArea>
    </chartFormat>
    <chartFormat chart="7" format="15" series="1">
      <pivotArea type="data" outline="0" fieldPosition="0">
        <references count="2">
          <reference field="4294967294" count="1" selected="0">
            <x v="0"/>
          </reference>
          <reference field="3" count="1" selected="0">
            <x v="3"/>
          </reference>
        </references>
      </pivotArea>
    </chartFormat>
    <chartFormat chart="7" format="16" series="1">
      <pivotArea type="data" outline="0" fieldPosition="0">
        <references count="2">
          <reference field="4294967294" count="1" selected="0">
            <x v="0"/>
          </reference>
          <reference field="3" count="1" selected="0">
            <x v="4"/>
          </reference>
        </references>
      </pivotArea>
    </chartFormat>
    <chartFormat chart="7" format="17" series="1">
      <pivotArea type="data" outline="0" fieldPosition="0">
        <references count="2">
          <reference field="4294967294" count="1" selected="0">
            <x v="0"/>
          </reference>
          <reference field="3" count="1" selected="0">
            <x v="5"/>
          </reference>
        </references>
      </pivotArea>
    </chartFormat>
    <chartFormat chart="7" format="18" series="1">
      <pivotArea type="data" outline="0" fieldPosition="0">
        <references count="2">
          <reference field="4294967294" count="1" selected="0">
            <x v="0"/>
          </reference>
          <reference field="3" count="1" selected="0">
            <x v="7"/>
          </reference>
        </references>
      </pivotArea>
    </chartFormat>
    <chartFormat chart="7" format="19" series="1">
      <pivotArea type="data" outline="0" fieldPosition="0">
        <references count="2">
          <reference field="4294967294" count="1" selected="0">
            <x v="0"/>
          </reference>
          <reference field="3" count="1" selected="0">
            <x v="6"/>
          </reference>
        </references>
      </pivotArea>
    </chartFormat>
    <chartFormat chart="7" format="20" series="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D1E7F28-1D0C-4C15-8ACC-882E3114AA01}" name="NonCompPage" cacheId="10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10">
  <location ref="AH3:AI7" firstHeaderRow="1" firstDataRow="1" firstDataCol="1"/>
  <pivotFields count="8">
    <pivotField showAll="0">
      <items count="10">
        <item x="0"/>
        <item x="1"/>
        <item m="1" x="5"/>
        <item m="1" x="7"/>
        <item m="1" x="8"/>
        <item x="2"/>
        <item m="1" x="4"/>
        <item x="3"/>
        <item m="1" x="6"/>
        <item t="default"/>
      </items>
    </pivotField>
    <pivotField dataField="1" showAll="0"/>
    <pivotField showAll="0">
      <items count="5">
        <item x="0"/>
        <item m="1" x="2"/>
        <item x="1"/>
        <item m="1" x="3"/>
        <item t="default"/>
      </items>
    </pivotField>
    <pivotField axis="axisRow" showAll="0">
      <items count="10">
        <item x="2"/>
        <item x="0"/>
        <item x="1"/>
        <item m="1" x="8"/>
        <item m="1" x="7"/>
        <item m="1" x="6"/>
        <item m="1" x="4"/>
        <item m="1" x="5"/>
        <item m="1" x="3"/>
        <item t="default"/>
      </items>
    </pivotField>
    <pivotField showAll="0"/>
    <pivotField showAll="0"/>
    <pivotField showAll="0"/>
    <pivotField showAll="0"/>
  </pivotFields>
  <rowFields count="1">
    <field x="3"/>
  </rowFields>
  <rowItems count="4">
    <i>
      <x/>
    </i>
    <i>
      <x v="1"/>
    </i>
    <i>
      <x v="2"/>
    </i>
    <i t="grand">
      <x/>
    </i>
  </rowItems>
  <colItems count="1">
    <i/>
  </colItems>
  <dataFields count="1">
    <dataField name="Sum of occurrences" fld="1" baseField="0" baseItem="0"/>
  </dataFields>
  <chartFormats count="1">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E85B4B-858F-410C-9F80-16FF1663A4EE}" name="NonCompPageRule" cacheId="10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5">
  <location ref="AE3:AF16" firstHeaderRow="1" firstDataRow="1" firstDataCol="1"/>
  <pivotFields count="8">
    <pivotField axis="axisRow" showAll="0">
      <items count="10">
        <item x="0"/>
        <item x="1"/>
        <item x="2"/>
        <item x="3"/>
        <item m="1" x="7"/>
        <item m="1" x="8"/>
        <item m="1" x="4"/>
        <item m="1" x="6"/>
        <item m="1" x="5"/>
        <item t="default"/>
      </items>
    </pivotField>
    <pivotField dataField="1" showAll="0"/>
    <pivotField showAll="0">
      <items count="5">
        <item x="0"/>
        <item m="1" x="2"/>
        <item x="1"/>
        <item m="1" x="3"/>
        <item t="default"/>
      </items>
    </pivotField>
    <pivotField axis="axisRow" showAll="0">
      <items count="10">
        <item x="2"/>
        <item x="0"/>
        <item x="1"/>
        <item m="1" x="8"/>
        <item m="1" x="7"/>
        <item m="1" x="6"/>
        <item m="1" x="4"/>
        <item m="1" x="5"/>
        <item m="1" x="3"/>
        <item t="default"/>
      </items>
    </pivotField>
    <pivotField showAll="0"/>
    <pivotField showAll="0"/>
    <pivotField showAll="0"/>
    <pivotField showAll="0"/>
  </pivotFields>
  <rowFields count="2">
    <field x="3"/>
    <field x="0"/>
  </rowFields>
  <rowItems count="13">
    <i>
      <x/>
    </i>
    <i r="1">
      <x/>
    </i>
    <i r="1">
      <x v="2"/>
    </i>
    <i r="1">
      <x v="3"/>
    </i>
    <i>
      <x v="1"/>
    </i>
    <i r="1">
      <x/>
    </i>
    <i r="1">
      <x v="1"/>
    </i>
    <i r="1">
      <x v="2"/>
    </i>
    <i r="1">
      <x v="3"/>
    </i>
    <i>
      <x v="2"/>
    </i>
    <i r="1">
      <x/>
    </i>
    <i r="1">
      <x v="3"/>
    </i>
    <i t="grand">
      <x/>
    </i>
  </rowItems>
  <colItems count="1">
    <i/>
  </colItems>
  <dataFields count="1">
    <dataField name="Sum of occurrences" fld="1"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88E46B5-4749-4849-A974-C08FF31B4F51}" name="NonCompRules" cacheId="10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9">
  <location ref="AB3:AC8" firstHeaderRow="1" firstDataRow="1" firstDataCol="1"/>
  <pivotFields count="8">
    <pivotField axis="axisRow" showAll="0">
      <items count="10">
        <item x="0"/>
        <item x="1"/>
        <item x="2"/>
        <item x="3"/>
        <item m="1" x="7"/>
        <item m="1" x="8"/>
        <item m="1" x="4"/>
        <item m="1" x="6"/>
        <item m="1" x="5"/>
        <item t="default"/>
      </items>
    </pivotField>
    <pivotField dataField="1" showAll="0"/>
    <pivotField showAll="0">
      <items count="5">
        <item x="0"/>
        <item m="1" x="2"/>
        <item x="1"/>
        <item m="1" x="3"/>
        <item t="default"/>
      </items>
    </pivotField>
    <pivotField showAll="0">
      <items count="10">
        <item m="1" x="4"/>
        <item m="1" x="5"/>
        <item x="2"/>
        <item x="0"/>
        <item m="1" x="3"/>
        <item x="1"/>
        <item m="1" x="6"/>
        <item m="1" x="8"/>
        <item m="1" x="7"/>
        <item t="default"/>
      </items>
    </pivotField>
    <pivotField showAll="0"/>
    <pivotField showAll="0"/>
    <pivotField showAll="0"/>
    <pivotField showAll="0"/>
  </pivotFields>
  <rowFields count="1">
    <field x="0"/>
  </rowFields>
  <rowItems count="5">
    <i>
      <x/>
    </i>
    <i>
      <x v="1"/>
    </i>
    <i>
      <x v="2"/>
    </i>
    <i>
      <x v="3"/>
    </i>
    <i t="grand">
      <x/>
    </i>
  </rowItems>
  <colItems count="1">
    <i/>
  </colItems>
  <dataFields count="1">
    <dataField name="Sum of occurrences" fld="1" baseField="0" baseItem="0"/>
  </dataFields>
  <chartFormats count="21">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0" count="1" selected="0">
            <x v="0"/>
          </reference>
        </references>
      </pivotArea>
    </chartFormat>
    <chartFormat chart="4" format="3">
      <pivotArea type="data" outline="0" fieldPosition="0">
        <references count="2">
          <reference field="4294967294" count="1" selected="0">
            <x v="0"/>
          </reference>
          <reference field="0" count="1" selected="0">
            <x v="1"/>
          </reference>
        </references>
      </pivotArea>
    </chartFormat>
    <chartFormat chart="4" format="4">
      <pivotArea type="data" outline="0" fieldPosition="0">
        <references count="2">
          <reference field="4294967294" count="1" selected="0">
            <x v="0"/>
          </reference>
          <reference field="0" count="1" selected="0">
            <x v="2"/>
          </reference>
        </references>
      </pivotArea>
    </chartFormat>
    <chartFormat chart="4" format="5">
      <pivotArea type="data" outline="0" fieldPosition="0">
        <references count="2">
          <reference field="4294967294" count="1" selected="0">
            <x v="0"/>
          </reference>
          <reference field="0" count="1" selected="0">
            <x v="3"/>
          </reference>
        </references>
      </pivotArea>
    </chartFormat>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0" count="1" selected="0">
            <x v="0"/>
          </reference>
        </references>
      </pivotArea>
    </chartFormat>
    <chartFormat chart="6" format="3">
      <pivotArea type="data" outline="0" fieldPosition="0">
        <references count="2">
          <reference field="4294967294" count="1" selected="0">
            <x v="0"/>
          </reference>
          <reference field="0" count="1" selected="0">
            <x v="1"/>
          </reference>
        </references>
      </pivotArea>
    </chartFormat>
    <chartFormat chart="6" format="4">
      <pivotArea type="data" outline="0" fieldPosition="0">
        <references count="2">
          <reference field="4294967294" count="1" selected="0">
            <x v="0"/>
          </reference>
          <reference field="0" count="1" selected="0">
            <x v="2"/>
          </reference>
        </references>
      </pivotArea>
    </chartFormat>
    <chartFormat chart="6" format="5">
      <pivotArea type="data" outline="0" fieldPosition="0">
        <references count="2">
          <reference field="4294967294" count="1" selected="0">
            <x v="0"/>
          </reference>
          <reference field="0" count="1" selected="0">
            <x v="3"/>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0" count="1" selected="0">
            <x v="0"/>
          </reference>
        </references>
      </pivotArea>
    </chartFormat>
    <chartFormat chart="7" format="8">
      <pivotArea type="data" outline="0" fieldPosition="0">
        <references count="2">
          <reference field="4294967294" count="1" selected="0">
            <x v="0"/>
          </reference>
          <reference field="0" count="1" selected="0">
            <x v="1"/>
          </reference>
        </references>
      </pivotArea>
    </chartFormat>
    <chartFormat chart="7" format="9">
      <pivotArea type="data" outline="0" fieldPosition="0">
        <references count="2">
          <reference field="4294967294" count="1" selected="0">
            <x v="0"/>
          </reference>
          <reference field="0" count="1" selected="0">
            <x v="2"/>
          </reference>
        </references>
      </pivotArea>
    </chartFormat>
    <chartFormat chart="7" format="10">
      <pivotArea type="data" outline="0" fieldPosition="0">
        <references count="2">
          <reference field="4294967294" count="1" selected="0">
            <x v="0"/>
          </reference>
          <reference field="0" count="1" selected="0">
            <x v="3"/>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0" count="1" selected="0">
            <x v="0"/>
          </reference>
        </references>
      </pivotArea>
    </chartFormat>
    <chartFormat chart="8" format="8">
      <pivotArea type="data" outline="0" fieldPosition="0">
        <references count="2">
          <reference field="4294967294" count="1" selected="0">
            <x v="0"/>
          </reference>
          <reference field="0" count="1" selected="0">
            <x v="1"/>
          </reference>
        </references>
      </pivotArea>
    </chartFormat>
    <chartFormat chart="8" format="9">
      <pivotArea type="data" outline="0" fieldPosition="0">
        <references count="2">
          <reference field="4294967294" count="1" selected="0">
            <x v="0"/>
          </reference>
          <reference field="0" count="1" selected="0">
            <x v="2"/>
          </reference>
        </references>
      </pivotArea>
    </chartFormat>
    <chartFormat chart="8" format="10">
      <pivotArea type="data" outline="0" fieldPosition="0">
        <references count="2">
          <reference field="4294967294" count="1" selected="0">
            <x v="0"/>
          </reference>
          <reference field="0" count="1" selected="0">
            <x v="3"/>
          </reference>
        </references>
      </pivotArea>
    </chartFormat>
    <chartFormat chart="8" format="1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2AF92E4B-DB28-48FC-A49D-D8CDC49A4275}" autoFormatId="16" applyNumberFormats="0" applyBorderFormats="0" applyFontFormats="0" applyPatternFormats="0" applyAlignmentFormats="0" applyWidthHeightFormats="0">
  <queryTableRefresh nextId="9">
    <queryTableFields count="8">
      <queryTableField id="1" name="ruleId" tableColumnId="1"/>
      <queryTableField id="2" name="occurrences" tableColumnId="2"/>
      <queryTableField id="3" name="severity" tableColumnId="3"/>
      <queryTableField id="4" name="pageId" tableColumnId="4"/>
      <queryTableField id="5" name="pageUrl" tableColumnId="5"/>
      <queryTableField id="6" name="auditRunId" tableColumnId="6"/>
      <queryTableField id="7" name="startedAt" tableColumnId="7"/>
      <queryTableField id="8" name="siteId"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4384BAFB-88F7-436E-899C-469D9456E847}" autoFormatId="16" applyNumberFormats="0" applyBorderFormats="0" applyFontFormats="0" applyPatternFormats="0" applyAlignmentFormats="0" applyWidthHeightFormats="0">
  <queryTableRefresh nextId="19" unboundColumnsRight="5">
    <queryTableFields count="14">
      <queryTableField id="12" name="criterionId" tableColumnId="12"/>
      <queryTableField id="4" name="violations" tableColumnId="4"/>
      <queryTableField id="5" name="severity" tableColumnId="5"/>
      <queryTableField id="6" name="pageId" tableColumnId="6"/>
      <queryTableField id="7" name="pageUrl" tableColumnId="7"/>
      <queryTableField id="8" name="auditRunId" tableColumnId="8"/>
      <queryTableField id="9" name="startedAt" tableColumnId="9"/>
      <queryTableField id="10" name="finishedAt" tableColumnId="10"/>
      <queryTableField id="11" name="siteId" tableColumnId="11"/>
      <queryTableField id="14" dataBound="0" tableColumnId="13"/>
      <queryTableField id="15" dataBound="0" tableColumnId="14"/>
      <queryTableField id="16" dataBound="0" tableColumnId="15"/>
      <queryTableField id="17" dataBound="0" tableColumnId="16"/>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CBC6236A-87E8-49D2-8439-3CB2E8D422C2}" autoFormatId="16" applyNumberFormats="0" applyBorderFormats="0" applyFontFormats="0" applyPatternFormats="0" applyAlignmentFormats="0" applyWidthHeightFormats="0">
  <queryTableRefresh nextId="14">
    <queryTableFields count="13">
      <queryTableField id="1" name="rawFindingId" tableColumnId="1"/>
      <queryTableField id="2" name="ruleId" tableColumnId="2"/>
      <queryTableField id="3" name="message" tableColumnId="3"/>
      <queryTableField id="4" name="selector" tableColumnId="4"/>
      <queryTableField id="5" name="impact" tableColumnId="5"/>
      <queryTableField id="6" name="findingType" tableColumnId="6"/>
      <queryTableField id="7" name="timestamp" tableColumnId="7"/>
      <queryTableField id="8" name="pageId" tableColumnId="8"/>
      <queryTableField id="9" name="pageUrl" tableColumnId="9"/>
      <queryTableField id="10" name="wcagTags" tableColumnId="10"/>
      <queryTableField id="11" name="auditRunId" tableColumnId="11"/>
      <queryTableField id="12" name="startedAt" tableColumnId="12"/>
      <queryTableField id="13" name="siteId"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eId" xr10:uid="{C611C9F5-326F-4DB7-AD61-1520AF93648D}" sourceName="[compliance].[pageId]">
  <pivotTables>
    <pivotTable tabId="10" name="CompAll"/>
    <pivotTable tabId="10" name="CompPerPage"/>
    <pivotTable tabId="10" name="CompPageCriterion"/>
    <pivotTable tabId="10" name="CompTopCriteria"/>
    <pivotTable tabId="10" name="CompTopGuidelines"/>
  </pivotTables>
  <data>
    <olap pivotCacheId="683451589">
      <levels count="2">
        <level uniqueName="[compliance].[pageId].[(All)]" sourceCaption="(All)" count="0"/>
        <level uniqueName="[compliance].[pageId].[pageId]" sourceCaption="pageId" count="3">
          <ranges>
            <range startItem="0">
              <i n="[compliance].[pageId].&amp;[faq]" c="faq"/>
              <i n="[compliance].[pageId].&amp;[home]" c="home"/>
              <i n="[compliance].[pageId].&amp;[login]" c="login"/>
            </range>
          </ranges>
        </level>
      </levels>
      <selections count="1">
        <selection n="[compliance].[pageI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nciple" xr10:uid="{664F784E-1C50-475F-ABED-268306AA07D4}" sourceName="[compliance].[Principle]">
  <pivotTables>
    <pivotTable tabId="10" name="CompAll"/>
    <pivotTable tabId="10" name="CompPerPage"/>
    <pivotTable tabId="10" name="CompPageCriterion"/>
    <pivotTable tabId="10" name="CompTopCriteria"/>
    <pivotTable tabId="10" name="CompTopGuidelines"/>
  </pivotTables>
  <data>
    <olap pivotCacheId="683451589">
      <levels count="2">
        <level uniqueName="[compliance].[Principle].[(All)]" sourceCaption="(All)" count="0"/>
        <level uniqueName="[compliance].[Principle].[Principle]" sourceCaption="Principle" count="4">
          <ranges>
            <range startItem="0">
              <i n="[compliance].[Principle].&amp;[Operable]" c="Operable"/>
              <i n="[compliance].[Principle].&amp;[Perceivable]" c="Perceivable"/>
              <i n="[compliance].[Principle].&amp;[Robust]" c="Robust"/>
              <i n="[compliance].[Principle].&amp;[Understandable]" c="Understandable"/>
            </range>
          </ranges>
        </level>
      </levels>
      <selections count="1">
        <selection n="[compliance].[Principl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uideline" xr10:uid="{D8E1389C-C7EB-456C-9F6A-42CC710D49D9}" sourceName="[compliance].[Guideline]">
  <pivotTables>
    <pivotTable tabId="10" name="CompAll"/>
    <pivotTable tabId="10" name="CompPerPage"/>
    <pivotTable tabId="10" name="CompPageCriterion"/>
    <pivotTable tabId="10" name="CompTopCriteria"/>
    <pivotTable tabId="10" name="CompTopGuidelines"/>
  </pivotTables>
  <data>
    <olap pivotCacheId="683451589">
      <levels count="2">
        <level uniqueName="[compliance].[Guideline].[(All)]" sourceCaption="(All)" count="0"/>
        <level uniqueName="[compliance].[Guideline].[Guideline]" sourceCaption="Guideline" count="5">
          <ranges>
            <range startItem="0">
              <i n="[compliance].[Guideline].&amp;[1.1 - Text Alternatives]" c="1.1 - Text Alternatives"/>
              <i n="[compliance].[Guideline].&amp;[1.4 - Distinguishable]" c="1.4 - Distinguishable"/>
              <i n="[compliance].[Guideline].&amp;[2.4 - Navigable]" c="2.4 - Navigable"/>
              <i n="[compliance].[Guideline].&amp;[3.1 - Readable]" c="3.1 - Readable"/>
              <i n="[compliance].[Guideline].&amp;[4.1 - Compatible]" c="4.1 - Compatible"/>
            </range>
          </ranges>
        </level>
      </levels>
      <selections count="1">
        <selection n="[compliance].[Guidelin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iterion___name___EU" xr10:uid="{8CD09605-DBB9-4EA9-9F0B-B24352812765}" sourceName="[compliance].[Criterion - name - EU]">
  <pivotTables>
    <pivotTable tabId="10" name="CompAll"/>
    <pivotTable tabId="10" name="CompPerPage"/>
    <pivotTable tabId="10" name="CompPageCriterion"/>
    <pivotTable tabId="10" name="CompTopCriteria"/>
    <pivotTable tabId="10" name="CompTopGuidelines"/>
  </pivotTables>
  <data>
    <olap pivotCacheId="683451589">
      <levels count="2">
        <level uniqueName="[compliance].[Criterion - name - EU].[(All)]" sourceCaption="(All)" count="0"/>
        <level uniqueName="[compliance].[Criterion - name - EU].[Criterion - name - EU]" sourceCaption="Criterion - name - EU" count="5">
          <ranges>
            <range startItem="0">
              <i n="[compliance].[Criterion - name - EU].&amp;[1.1.1 - Non-text content - 9.1.1.1]" c="1.1.1 - Non-text content - 9.1.1.1"/>
              <i n="[compliance].[Criterion - name - EU].&amp;[1.4.3 - Contrast (minimum) - 9.1.4.3]" c="1.4.3 - Contrast (minimum) - 9.1.4.3"/>
              <i n="[compliance].[Criterion - name - EU].&amp;[2.4.4 - Link purpose (in context) - 9.2.4.4]" c="2.4.4 - Link purpose (in context) - 9.2.4.4"/>
              <i n="[compliance].[Criterion - name - EU].&amp;[3.1.1 - Language of page - 9.3.1.1]" c="3.1.1 - Language of page - 9.3.1.1"/>
              <i n="[compliance].[Criterion - name - EU].&amp;[4.1.2 - Name, role, value - 9.4.1.2]" c="4.1.2 - Name, role, value - 9.4.1.2"/>
            </range>
          </ranges>
        </level>
      </levels>
      <selections count="1">
        <selection n="[compliance].[Criterion - name - EU].[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uleId" xr10:uid="{4CDA8CDA-018E-4543-AE84-7010F5EEA9EA}" sourceName="ruleId">
  <pivotTables>
    <pivotTable tabId="11" name="NonComp"/>
    <pivotTable tabId="11" name="NonCompPage"/>
    <pivotTable tabId="11" name="NonCompPageRule"/>
    <pivotTable tabId="11" name="NonCompRules"/>
    <pivotTable tabId="11" name="NonCompSeverity"/>
    <pivotTable tabId="11" name="NonCompSeverityRule"/>
  </pivotTables>
  <data>
    <tabular pivotCacheId="1215196594">
      <items count="9">
        <i x="0" s="1"/>
        <i x="1" s="1"/>
        <i x="2" s="1"/>
        <i x="3" s="1"/>
        <i x="5" s="1" nd="1"/>
        <i x="7" s="1" nd="1"/>
        <i x="8" s="1" nd="1"/>
        <i x="4" s="1" nd="1"/>
        <i x="6"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1751AE3F-08DF-4418-A753-B0C27D9C5642}" sourceName="severity">
  <pivotTables>
    <pivotTable tabId="11" name="NonComp"/>
    <pivotTable tabId="11" name="NonCompPage"/>
    <pivotTable tabId="11" name="NonCompPageRule"/>
    <pivotTable tabId="11" name="NonCompRules"/>
    <pivotTable tabId="11" name="NonCompSeverity"/>
    <pivotTable tabId="11" name="NonCompSeverityRule"/>
  </pivotTables>
  <data>
    <tabular pivotCacheId="1215196594">
      <items count="4">
        <i x="0" s="1"/>
        <i x="1" s="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eId1" xr10:uid="{583250A7-E078-41EC-B0B2-141A514BABC3}" sourceName="pageId">
  <pivotTables>
    <pivotTable tabId="11" name="NonComp"/>
    <pivotTable tabId="11" name="NonCompPage"/>
    <pivotTable tabId="11" name="NonCompPageRule"/>
    <pivotTable tabId="11" name="NonCompRules"/>
    <pivotTable tabId="11" name="NonCompSeverity"/>
    <pivotTable tabId="11" name="NonCompSeverityRule"/>
  </pivotTables>
  <data>
    <tabular pivotCacheId="1215196594">
      <items count="9">
        <i x="2" s="1"/>
        <i x="0" s="1"/>
        <i x="1" s="1"/>
        <i x="4" s="1" nd="1"/>
        <i x="5" s="1" nd="1"/>
        <i x="3" s="1" nd="1"/>
        <i x="6" s="1" nd="1"/>
        <i x="8"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geId" xr10:uid="{F2F7D2B3-65CF-4382-957A-71FE3F14E92F}" cache="Slicer_pageId" caption="PageId" level="1" rowHeight="257175"/>
  <slicer name="Principle" xr10:uid="{49B63FDB-232A-4E88-86AD-5CA97EE6A5E1}" cache="Slicer_Principle" caption="Principle" level="1" rowHeight="257175"/>
  <slicer name="Guideline" xr10:uid="{18BFE0BB-F02B-48B3-9E44-6924C1F733F3}" cache="Slicer_Guideline" caption="Guideline" level="1" rowHeight="257175"/>
  <slicer name="Criterion - name - EU" xr10:uid="{35D855BC-EB43-4CF0-8B7C-BF489788430A}" cache="Slicer_Criterion___name___EU" caption="Criterion - name - EU" level="1" rowHeight="257175"/>
  <slicer name="ruleId" xr10:uid="{D9D8CB93-D42B-44F4-9151-205A978C36CF}" cache="Slicer_ruleId" caption="ruleId" rowHeight="257175"/>
  <slicer name="severity" xr10:uid="{9055BE8D-E39B-497C-B2AB-812424DE4E15}" cache="Slicer_severity" caption="severity" rowHeight="257175"/>
  <slicer name="pageId 1" xr10:uid="{09EB3BC8-1124-40F3-A6CE-34EBC78749E0}" cache="Slicer_pageId1" caption="pageId"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170D0A-649B-4C64-A976-76CB9FD9B3BE}" name="non_compliance" displayName="non_compliance" ref="A1:H10" tableType="queryTable" totalsRowShown="0">
  <autoFilter ref="A1:H10" xr:uid="{2E170D0A-649B-4C64-A976-76CB9FD9B3BE}"/>
  <tableColumns count="8">
    <tableColumn id="1" xr3:uid="{A6AABFE0-0C97-4A42-B90A-A9A32E1F2543}" uniqueName="1" name="ruleId" queryTableFieldId="1"/>
    <tableColumn id="2" xr3:uid="{CCEBAF16-AA3C-4EE3-A2AA-BE9D600D8ECA}" uniqueName="2" name="occurrences" queryTableFieldId="2"/>
    <tableColumn id="3" xr3:uid="{A31BCA46-1214-4784-B97F-468AD6DAEF05}" uniqueName="3" name="severity" queryTableFieldId="3"/>
    <tableColumn id="4" xr3:uid="{954CDD1B-6886-4CA3-95E9-89038CDC97CA}" uniqueName="4" name="pageId" queryTableFieldId="4"/>
    <tableColumn id="5" xr3:uid="{3BAF366F-C08C-4025-9619-CFDEE3A1865A}" uniqueName="5" name="pageUrl" queryTableFieldId="5"/>
    <tableColumn id="6" xr3:uid="{69396887-CDFA-4776-B13E-706B1C005DC8}" uniqueName="6" name="auditRunId" queryTableFieldId="6" dataDxfId="26"/>
    <tableColumn id="7" xr3:uid="{64480D99-4BC9-4B98-A547-84A786EE2B8F}" uniqueName="7" name="startedAt" queryTableFieldId="7" dataDxfId="3"/>
    <tableColumn id="8" xr3:uid="{9D1C8D01-8CCF-4266-B0C6-10B37B9B7175}" uniqueName="8" name="siteId" queryTableFieldId="8"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39C2A-68BC-46D5-8F8A-596EF3E042B3}" name="compliance" displayName="compliance" ref="A1:N16" tableType="queryTable" totalsRowShown="0">
  <autoFilter ref="A1:N16" xr:uid="{96B39C2A-68BC-46D5-8F8A-596EF3E042B3}"/>
  <tableColumns count="14">
    <tableColumn id="12" xr3:uid="{4D20A8C3-83CF-4B4B-B947-280ED668A07D}" uniqueName="12" name="criterionId" queryTableFieldId="12"/>
    <tableColumn id="4" xr3:uid="{7E5A171A-FC4A-4BFB-B9AF-2D493B77C36C}" uniqueName="4" name="violations" queryTableFieldId="4"/>
    <tableColumn id="5" xr3:uid="{2796CA25-F218-4CD9-9796-D433F697BC06}" uniqueName="5" name="severity" queryTableFieldId="5"/>
    <tableColumn id="6" xr3:uid="{450C598A-E1A6-49C1-B2BC-F0AC2D83C8E5}" uniqueName="6" name="pageId" queryTableFieldId="6"/>
    <tableColumn id="7" xr3:uid="{AD97B85B-E1DD-48D1-925C-76F0829A2B87}" uniqueName="7" name="pageUrl" queryTableFieldId="7"/>
    <tableColumn id="8" xr3:uid="{C5C40F43-5FEB-4E6E-96FE-A4B6C5B3D47D}" uniqueName="8" name="auditRunId" queryTableFieldId="8" dataDxfId="24"/>
    <tableColumn id="9" xr3:uid="{F8D7CFC3-A7BF-4648-86A3-59254A1425E4}" uniqueName="9" name="startedAt" queryTableFieldId="9" dataDxfId="2"/>
    <tableColumn id="10" xr3:uid="{3F32F53E-B85A-447D-8B95-03E2938AA265}" uniqueName="10" name="finishedAt" queryTableFieldId="10" dataDxfId="1"/>
    <tableColumn id="11" xr3:uid="{1978EF83-E7E6-447C-B98A-DC5F0A9DF32A}" uniqueName="11" name="siteId" queryTableFieldId="11" dataDxfId="23"/>
    <tableColumn id="13" xr3:uid="{EAF7D295-1E6C-4853-8206-31A362552E2F}" uniqueName="13" name="Criterion - name - EU" queryTableFieldId="14">
      <calculatedColumnFormula>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calculatedColumnFormula>
    </tableColumn>
    <tableColumn id="14" xr3:uid="{644ED10B-2B8B-49DA-B84A-F2C6F6EC07DA}" uniqueName="14" name="Guideline" queryTableFieldId="15" dataDxfId="22">
      <calculatedColumnFormula>INDEX(Standard[GuidelineId],MATCH(compliance[[#This Row],[criterionId]],Standard[Κριτήριο WCAG],0))  &amp; " - "  &amp; INDEX(Standard[Guideline],MATCH(compliance[[#This Row],[criterionId]],Standard[Κριτήριο WCAG],0))</calculatedColumnFormula>
    </tableColumn>
    <tableColumn id="15" xr3:uid="{EAD17C53-8DF2-4F9A-B93D-84858F53AAEA}" uniqueName="15" name="Principle" queryTableFieldId="16" dataDxfId="21">
      <calculatedColumnFormula>INDEX(Standard[Principle],MATCH(compliance[[#This Row],[criterionId]],Standard[Κριτήριο WCAG],0))</calculatedColumnFormula>
    </tableColumn>
    <tableColumn id="16" xr3:uid="{9C30400C-A361-477C-8144-8296F851C259}" uniqueName="16" name="Level" queryTableFieldId="17" dataDxfId="20">
      <calculatedColumnFormula>INDEX(Standard[Επίπεδο Συμμόρφωσης],MATCH(compliance[[#This Row],[criterionId]],Standard[Κριτήριο WCAG],0))</calculatedColumnFormula>
    </tableColumn>
    <tableColumn id="17" xr3:uid="{48A73D07-8045-482D-A932-A894224082A0}" uniqueName="17" name="GuidelinId" queryTableFieldId="18" dataDxfId="19">
      <calculatedColumnFormula>INDEX(Standard[GuidelineId],MATCH(compliance[[#This Row],[criterionId]],Standard[Κριτήριο WCAG],0))</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8591F3D-BEED-4ACA-9E26-128792F48FA4}" name="rawFindings" displayName="rawFindings" ref="A1:M59" tableType="queryTable" totalsRowShown="0">
  <autoFilter ref="A1:M59" xr:uid="{48591F3D-BEED-4ACA-9E26-128792F48FA4}"/>
  <tableColumns count="13">
    <tableColumn id="1" xr3:uid="{B8B3FABE-0122-4F5F-B87A-1AC442B9DDE3}" uniqueName="1" name="rawFindingId" queryTableFieldId="1"/>
    <tableColumn id="2" xr3:uid="{C09191D7-8FBA-49D3-A20C-964F40900C67}" uniqueName="2" name="ruleId" queryTableFieldId="2"/>
    <tableColumn id="3" xr3:uid="{6EE5346A-F87A-4BF3-AAF2-69594AD40BD2}" uniqueName="3" name="message" queryTableFieldId="3"/>
    <tableColumn id="4" xr3:uid="{A463B59E-2950-4134-8549-AF0B026D70CB}" uniqueName="4" name="selector" queryTableFieldId="4"/>
    <tableColumn id="5" xr3:uid="{7EDC6233-0DE1-49CE-8C9B-5E20331A30F6}" uniqueName="5" name="impact" queryTableFieldId="5"/>
    <tableColumn id="6" xr3:uid="{84745273-90BE-42E1-B1FD-D305FD12E33F}" uniqueName="6" name="findingType" queryTableFieldId="6"/>
    <tableColumn id="7" xr3:uid="{546228FB-5AA6-4E47-A2C5-FF85A60FA59A}" uniqueName="7" name="timestamp" queryTableFieldId="7"/>
    <tableColumn id="8" xr3:uid="{1EFFBE87-D94E-44F3-89F5-4A3380FD28A5}" uniqueName="8" name="pageId" queryTableFieldId="8"/>
    <tableColumn id="9" xr3:uid="{1200064E-15C8-444E-A27F-A113A9F877B7}" uniqueName="9" name="pageUrl" queryTableFieldId="9"/>
    <tableColumn id="10" xr3:uid="{0CF9A194-2355-4C89-BEAC-65C557F9D806}" uniqueName="10" name="wcagTags" queryTableFieldId="10" dataDxfId="18"/>
    <tableColumn id="11" xr3:uid="{512EB81C-0C00-4DB8-A81A-1AEB865A055D}" uniqueName="11" name="auditRunId" queryTableFieldId="11" dataDxfId="17"/>
    <tableColumn id="12" xr3:uid="{1B1DEF79-0030-4916-AFF1-B221B40CFF18}" uniqueName="12" name="startedAt" queryTableFieldId="12" dataDxfId="0"/>
    <tableColumn id="13" xr3:uid="{A07798AF-DB44-49E2-9F29-DA76434BF202}" uniqueName="13" name="siteId" queryTableFieldId="13" dataDxfId="1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B72410-AD95-4087-B75F-4E83DF62B326}" name="Standard" displayName="Standard" ref="A1:I51" totalsRowShown="0" headerRowDxfId="15" dataDxfId="14" tableBorderDxfId="13">
  <autoFilter ref="A1:I51" xr:uid="{83F1260B-E001-4089-B5A1-BAD031E54501}"/>
  <tableColumns count="9">
    <tableColumn id="1" xr3:uid="{D7D5910B-D141-494E-BF0D-E622FE965870}" name="Περιγραφή Ρήτρας" dataDxfId="12"/>
    <tableColumn id="2" xr3:uid="{C804E3FD-7B67-4207-8C29-025596A10391}" name="Κριτήριο WCAG" dataDxfId="11"/>
    <tableColumn id="3" xr3:uid="{D6370964-4273-4647-825D-5CA0C7A0028E}" name="Ρήτρα Ευρωπαϊκού Πρότυπου" dataDxfId="10"/>
    <tableColumn id="4" xr3:uid="{664A64A5-171C-43EA-BDAA-F907E6B18062}" name="Επίπεδο Συμμόρφωσης" dataDxfId="9"/>
    <tableColumn id="5" xr3:uid="{187DD830-A4BD-4004-99A2-66010957DADC}" name="Αρχή" dataDxfId="8"/>
    <tableColumn id="6" xr3:uid="{6195B75F-C372-45FA-A8EB-B5664F0E262E}" name="Ανάγκη Προσβασιμότητας Χρήστη" dataDxfId="7"/>
    <tableColumn id="7" xr3:uid="{1F32AB81-6D8A-4700-BA38-E276C754EB30}" name="Guideline" dataDxfId="6"/>
    <tableColumn id="8" xr3:uid="{3274487F-B4A1-407D-A197-5C225B3C1F9B}" name="GuidelineId" dataDxfId="5">
      <calculatedColumnFormula>LEFT(B2, FIND(".", B2, FIND(".", B2)+1)-1)</calculatedColumnFormula>
    </tableColumn>
    <tableColumn id="9" xr3:uid="{BBB2A686-25B8-4E75-B3BA-385BE24FE0FC}" name="Principle" dataDxfId="4">
      <calculatedColumnFormula>IF(Standard[[#This Row],[Αρχή]]="P","Perceivable",IF(Standard[[#This Row],[Αρχή]]="O","Operable",IF(Standard[[#This Row],[Αρχή]]="U","Understandable",IF(Standard[[#This Row],[Αρχή]]="R","Robust"))))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4.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E848C-222C-4201-84F0-FBF9240E68AA}">
  <sheetPr codeName="Sheet7">
    <pageSetUpPr fitToPage="1"/>
  </sheetPr>
  <dimension ref="A2:Q158"/>
  <sheetViews>
    <sheetView tabSelected="1" zoomScaleNormal="100" workbookViewId="0">
      <selection activeCell="H3" sqref="H3"/>
    </sheetView>
  </sheetViews>
  <sheetFormatPr defaultRowHeight="15" x14ac:dyDescent="0.25"/>
  <cols>
    <col min="1" max="1" width="2.42578125" style="21" customWidth="1"/>
    <col min="2" max="2" width="17.7109375" style="21" customWidth="1"/>
    <col min="3" max="3" width="2.42578125" style="21" customWidth="1"/>
    <col min="4" max="4" width="16.85546875" style="21" customWidth="1"/>
    <col min="5" max="5" width="2.42578125" style="21" customWidth="1"/>
    <col min="6" max="6" width="17" style="21" customWidth="1"/>
    <col min="7" max="7" width="2.42578125" style="21" customWidth="1"/>
    <col min="8" max="8" width="19.140625" style="21" customWidth="1"/>
    <col min="9" max="9" width="2.42578125" style="21" customWidth="1"/>
    <col min="10" max="10" width="20.85546875" style="21" bestFit="1" customWidth="1"/>
    <col min="11" max="11" width="2.42578125" style="21" customWidth="1"/>
    <col min="12" max="15" width="9.140625" style="21"/>
    <col min="16" max="16" width="12.28515625" style="21" customWidth="1"/>
    <col min="17" max="16384" width="9.140625" style="21"/>
  </cols>
  <sheetData>
    <row r="2" spans="1:17" x14ac:dyDescent="0.25">
      <c r="A2" s="21" t="s">
        <v>416</v>
      </c>
    </row>
    <row r="3" spans="1:17" x14ac:dyDescent="0.25">
      <c r="A3" s="21" t="s">
        <v>417</v>
      </c>
    </row>
    <row r="4" spans="1:17" ht="7.5" customHeight="1" x14ac:dyDescent="0.25"/>
    <row r="5" spans="1:17" ht="45" x14ac:dyDescent="0.25">
      <c r="B5" s="23" t="s">
        <v>443</v>
      </c>
    </row>
    <row r="6" spans="1:17" ht="65.25" customHeight="1" x14ac:dyDescent="0.25">
      <c r="B6" s="20">
        <f>Analysis!C33</f>
        <v>65</v>
      </c>
    </row>
    <row r="7" spans="1:17" ht="7.5" customHeight="1" x14ac:dyDescent="0.25"/>
    <row r="8" spans="1:17" ht="30.75" customHeight="1" x14ac:dyDescent="0.25">
      <c r="B8" s="30" t="s">
        <v>440</v>
      </c>
      <c r="C8" s="30"/>
      <c r="D8" s="30"/>
      <c r="E8" s="30"/>
      <c r="F8" s="30"/>
      <c r="G8" s="30"/>
      <c r="H8" s="30"/>
      <c r="I8" s="30"/>
      <c r="J8" s="30"/>
      <c r="K8" s="30"/>
      <c r="L8" s="30"/>
      <c r="M8" s="30"/>
      <c r="N8" s="30"/>
      <c r="O8" s="30"/>
      <c r="P8" s="30"/>
      <c r="Q8" s="30"/>
    </row>
    <row r="9" spans="1:17" ht="7.5" customHeight="1" x14ac:dyDescent="0.25"/>
    <row r="10" spans="1:17" ht="45" x14ac:dyDescent="0.25">
      <c r="B10" s="23" t="s">
        <v>423</v>
      </c>
      <c r="D10" s="23" t="s">
        <v>422</v>
      </c>
      <c r="F10" s="23" t="s">
        <v>419</v>
      </c>
      <c r="H10" s="23" t="s">
        <v>420</v>
      </c>
      <c r="J10" s="23" t="s">
        <v>421</v>
      </c>
      <c r="L10" s="22"/>
      <c r="M10" s="22"/>
      <c r="N10" s="22"/>
      <c r="O10" s="22"/>
      <c r="P10" s="22"/>
    </row>
    <row r="11" spans="1:17" ht="93" customHeight="1" x14ac:dyDescent="0.25">
      <c r="B11" s="20">
        <f>Analysis!C25</f>
        <v>3</v>
      </c>
      <c r="D11" s="20">
        <f>Analysis!C26</f>
        <v>45</v>
      </c>
      <c r="F11" s="20">
        <f>Analysis!C22</f>
        <v>5</v>
      </c>
      <c r="H11" s="20">
        <f>Analysis!C23</f>
        <v>5</v>
      </c>
      <c r="J11" s="20">
        <f>Analysis!C24</f>
        <v>4</v>
      </c>
    </row>
    <row r="12" spans="1:17" ht="7.5" customHeight="1" x14ac:dyDescent="0.25"/>
    <row r="13" spans="1:17" ht="7.5" customHeight="1" x14ac:dyDescent="0.25"/>
    <row r="34" ht="47.25" customHeight="1" x14ac:dyDescent="0.25"/>
    <row r="49" spans="2:17" ht="18.75" x14ac:dyDescent="0.25">
      <c r="B49" s="28" t="s">
        <v>441</v>
      </c>
      <c r="C49" s="28"/>
      <c r="D49" s="28"/>
      <c r="E49" s="28"/>
      <c r="F49" s="28"/>
      <c r="G49" s="28"/>
      <c r="H49" s="28"/>
      <c r="I49" s="28"/>
      <c r="J49" s="28"/>
      <c r="K49" s="28"/>
      <c r="L49" s="28"/>
      <c r="M49" s="28"/>
      <c r="N49" s="28"/>
      <c r="O49" s="28"/>
      <c r="P49" s="28"/>
      <c r="Q49" s="28"/>
    </row>
    <row r="50" spans="2:17" ht="7.5" customHeight="1" x14ac:dyDescent="0.25"/>
    <row r="51" spans="2:17" x14ac:dyDescent="0.25">
      <c r="E51" s="29" t="s">
        <v>433</v>
      </c>
      <c r="F51" s="29"/>
      <c r="G51" s="29"/>
      <c r="H51" s="29"/>
      <c r="I51" s="29"/>
      <c r="J51" s="29"/>
      <c r="K51" s="29"/>
      <c r="L51" s="29"/>
      <c r="M51" s="29"/>
      <c r="N51" s="29"/>
      <c r="O51" s="29"/>
      <c r="P51" s="29"/>
      <c r="Q51" s="29"/>
    </row>
    <row r="75" spans="5:17" x14ac:dyDescent="0.25">
      <c r="E75" s="29" t="s">
        <v>434</v>
      </c>
      <c r="F75" s="29"/>
      <c r="G75" s="29"/>
      <c r="H75" s="29"/>
      <c r="I75" s="29"/>
      <c r="J75" s="29"/>
      <c r="K75" s="29"/>
      <c r="L75" s="29"/>
      <c r="M75" s="29"/>
      <c r="N75" s="29"/>
      <c r="O75" s="29"/>
      <c r="P75" s="29"/>
      <c r="Q75" s="29"/>
    </row>
    <row r="100" spans="2:17" ht="7.5" customHeight="1" x14ac:dyDescent="0.25"/>
    <row r="101" spans="2:17" ht="26.25" x14ac:dyDescent="0.25">
      <c r="B101" s="30" t="s">
        <v>442</v>
      </c>
      <c r="C101" s="30"/>
      <c r="D101" s="30"/>
      <c r="E101" s="30"/>
      <c r="F101" s="30"/>
      <c r="G101" s="30"/>
      <c r="H101" s="30"/>
      <c r="I101" s="30"/>
      <c r="J101" s="30"/>
      <c r="K101" s="30"/>
      <c r="L101" s="30"/>
      <c r="M101" s="30"/>
      <c r="N101" s="30"/>
      <c r="O101" s="30"/>
      <c r="P101" s="30"/>
      <c r="Q101" s="30"/>
    </row>
    <row r="103" spans="2:17" ht="45" x14ac:dyDescent="0.25">
      <c r="B103" s="23" t="s">
        <v>428</v>
      </c>
      <c r="D103" s="23" t="s">
        <v>429</v>
      </c>
      <c r="F103" s="23" t="s">
        <v>430</v>
      </c>
    </row>
    <row r="104" spans="2:17" ht="93" customHeight="1" x14ac:dyDescent="0.25">
      <c r="B104" s="20">
        <f>Analysis!C30</f>
        <v>3</v>
      </c>
      <c r="D104" s="20">
        <f>Analysis!C28</f>
        <v>20</v>
      </c>
      <c r="F104" s="20">
        <f>Analysis!C29</f>
        <v>4</v>
      </c>
    </row>
    <row r="107" spans="2:17" ht="18.75" x14ac:dyDescent="0.25">
      <c r="B107" s="28" t="s">
        <v>449</v>
      </c>
      <c r="C107" s="28"/>
      <c r="D107" s="28"/>
      <c r="E107" s="28"/>
      <c r="F107" s="28"/>
      <c r="G107" s="28"/>
      <c r="H107" s="28"/>
      <c r="I107" s="28"/>
      <c r="J107" s="28"/>
      <c r="K107" s="28"/>
      <c r="L107" s="28"/>
      <c r="M107" s="28"/>
      <c r="N107" s="28"/>
      <c r="O107" s="28"/>
      <c r="P107" s="28"/>
      <c r="Q107" s="28"/>
    </row>
    <row r="108" spans="2:17" ht="7.5" customHeight="1" x14ac:dyDescent="0.25"/>
    <row r="109" spans="2:17" x14ac:dyDescent="0.25">
      <c r="E109" s="29" t="s">
        <v>445</v>
      </c>
      <c r="F109" s="29"/>
      <c r="G109" s="29"/>
      <c r="H109" s="29"/>
      <c r="I109" s="29"/>
      <c r="J109" s="29"/>
      <c r="K109" s="29"/>
      <c r="L109" s="29"/>
      <c r="M109" s="29"/>
      <c r="N109" s="29"/>
      <c r="O109" s="29"/>
      <c r="P109" s="29"/>
      <c r="Q109" s="29"/>
    </row>
    <row r="157" spans="5:17" ht="7.5" customHeight="1" x14ac:dyDescent="0.25"/>
    <row r="158" spans="5:17" x14ac:dyDescent="0.25">
      <c r="E158" s="29" t="s">
        <v>458</v>
      </c>
      <c r="F158" s="29"/>
      <c r="G158" s="29"/>
      <c r="H158" s="29"/>
      <c r="I158" s="29"/>
      <c r="J158" s="29"/>
      <c r="K158" s="29"/>
      <c r="L158" s="29"/>
      <c r="M158" s="29"/>
      <c r="N158" s="29"/>
      <c r="O158" s="29"/>
      <c r="P158" s="29"/>
      <c r="Q158" s="29"/>
    </row>
  </sheetData>
  <sheetProtection sheet="1" objects="1" scenarios="1" pivotTables="0"/>
  <mergeCells count="8">
    <mergeCell ref="E109:Q109"/>
    <mergeCell ref="E158:Q158"/>
    <mergeCell ref="E51:Q51"/>
    <mergeCell ref="B49:Q49"/>
    <mergeCell ref="E75:Q75"/>
    <mergeCell ref="B8:Q8"/>
    <mergeCell ref="B101:Q101"/>
    <mergeCell ref="B107:Q107"/>
  </mergeCells>
  <conditionalFormatting sqref="B11">
    <cfRule type="cellIs" dxfId="46" priority="17" operator="greaterThan">
      <formula>0</formula>
    </cfRule>
    <cfRule type="cellIs" dxfId="45" priority="18" operator="equal">
      <formula>0</formula>
    </cfRule>
  </conditionalFormatting>
  <conditionalFormatting sqref="D11">
    <cfRule type="cellIs" dxfId="44" priority="15" operator="greaterThan">
      <formula>0</formula>
    </cfRule>
    <cfRule type="cellIs" dxfId="43" priority="16" operator="equal">
      <formula>0</formula>
    </cfRule>
  </conditionalFormatting>
  <conditionalFormatting sqref="F11">
    <cfRule type="cellIs" dxfId="42" priority="13" operator="equal">
      <formula>0</formula>
    </cfRule>
    <cfRule type="cellIs" dxfId="41" priority="14" operator="greaterThan">
      <formula>0</formula>
    </cfRule>
  </conditionalFormatting>
  <conditionalFormatting sqref="H11">
    <cfRule type="cellIs" dxfId="40" priority="11" operator="greaterThan">
      <formula>0</formula>
    </cfRule>
    <cfRule type="cellIs" dxfId="39" priority="12" operator="equal">
      <formula>0</formula>
    </cfRule>
  </conditionalFormatting>
  <conditionalFormatting sqref="J11">
    <cfRule type="cellIs" dxfId="38" priority="9" operator="greaterThan">
      <formula>0</formula>
    </cfRule>
    <cfRule type="cellIs" dxfId="37" priority="10" operator="equal">
      <formula>0</formula>
    </cfRule>
  </conditionalFormatting>
  <conditionalFormatting sqref="B6">
    <cfRule type="cellIs" dxfId="36" priority="7" operator="greaterThan">
      <formula>0</formula>
    </cfRule>
    <cfRule type="cellIs" dxfId="35" priority="8" operator="equal">
      <formula>0</formula>
    </cfRule>
  </conditionalFormatting>
  <conditionalFormatting sqref="B104">
    <cfRule type="cellIs" dxfId="34" priority="5" operator="greaterThan">
      <formula>0</formula>
    </cfRule>
    <cfRule type="cellIs" dxfId="33" priority="6" operator="equal">
      <formula>0</formula>
    </cfRule>
  </conditionalFormatting>
  <conditionalFormatting sqref="D104">
    <cfRule type="cellIs" dxfId="32" priority="3" operator="greaterThan">
      <formula>0</formula>
    </cfRule>
    <cfRule type="cellIs" dxfId="31" priority="4" operator="equal">
      <formula>0</formula>
    </cfRule>
  </conditionalFormatting>
  <conditionalFormatting sqref="F104">
    <cfRule type="cellIs" dxfId="30" priority="1" operator="greaterThan">
      <formula>0</formula>
    </cfRule>
    <cfRule type="cellIs" dxfId="29" priority="2" operator="equal">
      <formula>0</formula>
    </cfRule>
  </conditionalFormatting>
  <pageMargins left="0.25" right="0.25" top="0.75" bottom="0.75" header="0.3" footer="0.3"/>
  <pageSetup paperSize="9" scale="57" fitToHeight="0" orientation="portrait" r:id="rId1"/>
  <rowBreaks count="3" manualBreakCount="3">
    <brk id="48" max="16383" man="1"/>
    <brk id="99" max="16383" man="1"/>
    <brk id="157"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RefreshAllData">
                <anchor moveWithCells="1">
                  <from>
                    <xdr:col>5</xdr:col>
                    <xdr:colOff>895350</xdr:colOff>
                    <xdr:row>5</xdr:row>
                    <xdr:rowOff>400050</xdr:rowOff>
                  </from>
                  <to>
                    <xdr:col>7</xdr:col>
                    <xdr:colOff>752475</xdr:colOff>
                    <xdr:row>5</xdr:row>
                    <xdr:rowOff>790575</xdr:rowOff>
                  </to>
                </anchor>
              </controlPr>
            </control>
          </mc:Choice>
        </mc:AlternateContent>
        <mc:AlternateContent xmlns:mc="http://schemas.openxmlformats.org/markup-compatibility/2006">
          <mc:Choice Requires="x14">
            <control shapeId="8194" r:id="rId5" name="Button 2">
              <controlPr defaultSize="0" print="0" autoFill="0" autoPict="0" macro="[0]!ThisWorkbook.SelectAuditJsonFile">
                <anchor moveWithCells="1" sizeWithCells="1">
                  <from>
                    <xdr:col>3</xdr:col>
                    <xdr:colOff>38100</xdr:colOff>
                    <xdr:row>5</xdr:row>
                    <xdr:rowOff>400050</xdr:rowOff>
                  </from>
                  <to>
                    <xdr:col>5</xdr:col>
                    <xdr:colOff>723900</xdr:colOff>
                    <xdr:row>5</xdr:row>
                    <xdr:rowOff>781050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31068-77D1-4B33-8630-02A99BE2B049}">
  <sheetPr codeName="Sheet12"/>
  <dimension ref="A1:H59"/>
  <sheetViews>
    <sheetView zoomScaleNormal="100" workbookViewId="0">
      <selection activeCell="D5" sqref="D5"/>
    </sheetView>
  </sheetViews>
  <sheetFormatPr defaultRowHeight="15" x14ac:dyDescent="0.25"/>
  <cols>
    <col min="1" max="1" width="9.85546875" style="24" customWidth="1"/>
    <col min="2" max="2" width="26.7109375" style="24" customWidth="1"/>
    <col min="3" max="3" width="9.42578125" style="24" bestFit="1" customWidth="1"/>
    <col min="4" max="4" width="22.28515625" style="24" customWidth="1"/>
    <col min="5" max="5" width="48.85546875" style="24" customWidth="1"/>
    <col min="6" max="6" width="51" style="24" bestFit="1" customWidth="1"/>
    <col min="7" max="7" width="23.5703125" style="24" bestFit="1" customWidth="1"/>
    <col min="8" max="8" width="19" style="24" customWidth="1"/>
    <col min="9" max="16384" width="9.140625" style="25"/>
  </cols>
  <sheetData>
    <row r="1" spans="1:8" s="27" customFormat="1" x14ac:dyDescent="0.25">
      <c r="A1" s="26" t="s">
        <v>450</v>
      </c>
      <c r="B1" s="26" t="s">
        <v>456</v>
      </c>
      <c r="C1" s="26" t="s">
        <v>451</v>
      </c>
      <c r="D1" s="26" t="s">
        <v>452</v>
      </c>
      <c r="E1" s="26" t="s">
        <v>453</v>
      </c>
      <c r="F1" s="26" t="s">
        <v>454</v>
      </c>
      <c r="G1" s="26" t="s">
        <v>455</v>
      </c>
      <c r="H1" s="26" t="s">
        <v>457</v>
      </c>
    </row>
    <row r="2" spans="1:8" ht="30" x14ac:dyDescent="0.25">
      <c r="A2" s="24" t="str" cm="1">
        <f t="array" ref="A2:H59">_xlfn.CHOOSECOLS(
  rawFindings[],
  MATCH({"pageId";"pageUrl";"impact";"ruleId";"message";"selector";"timestamp";"wcagTags"}, rawFindings[#Headers], 0)
)</f>
        <v>home</v>
      </c>
      <c r="B2" s="24" t="str">
        <v>https://taxportal.mof.gov.cy/</v>
      </c>
      <c r="C2" s="24" t="str">
        <v>serious</v>
      </c>
      <c r="D2" s="24" t="str">
        <v>aria-dialog-name</v>
      </c>
      <c r="E2" s="24" t="str">
        <v>Ensure every ARIA dialog and alertdialog node has an accessible name</v>
      </c>
      <c r="F2" s="24" t="str">
        <v>#cookieConsent</v>
      </c>
      <c r="G2" s="24" t="str">
        <v>2026-01-30T08:26:16.437Z</v>
      </c>
      <c r="H2" s="24" t="str">
        <v>cat.aria | best-practice</v>
      </c>
    </row>
    <row r="3" spans="1:8" ht="90" x14ac:dyDescent="0.25">
      <c r="A3" s="24" t="str">
        <v>home</v>
      </c>
      <c r="B3" s="24" t="str">
        <v>https://taxportal.mof.gov.cy/</v>
      </c>
      <c r="C3" s="24" t="str">
        <v>serious</v>
      </c>
      <c r="D3" s="24" t="str">
        <v>color-contrast</v>
      </c>
      <c r="E3" s="24" t="str">
        <v>Ensure the contrast between foreground and background colors meets WCAG 2 AA minimum contrast ratio thresholds</v>
      </c>
      <c r="F3" s="24" t="str">
        <v>a[href$="Login"] &gt; .nav-label</v>
      </c>
      <c r="G3" s="24" t="str">
        <v>2026-01-30T08:26:16.437Z</v>
      </c>
      <c r="H3" s="24" t="str">
        <v>cat.color | wcag2aa | wcag143 | TTv5 | TT13.c | EN-301-549 | EN-9.1.4.3 | ACT | RGAAv4 | RGAA-3.2.1</v>
      </c>
    </row>
    <row r="4" spans="1:8" ht="90" x14ac:dyDescent="0.25">
      <c r="A4" s="24" t="str">
        <v>home</v>
      </c>
      <c r="B4" s="24" t="str">
        <v>https://taxportal.mof.gov.cy/</v>
      </c>
      <c r="C4" s="24" t="str">
        <v>serious</v>
      </c>
      <c r="D4" s="24" t="str">
        <v>color-contrast</v>
      </c>
      <c r="E4" s="24" t="str">
        <v>Ensure the contrast between foreground and background colors meets WCAG 2 AA minimum contrast ratio thresholds</v>
      </c>
      <c r="F4" s="24" t="str">
        <v>.navbar-text:nth-child(1) &gt; .btn-link.btn[target="_blank"]</v>
      </c>
      <c r="G4" s="24" t="str">
        <v>2026-01-30T08:26:16.437Z</v>
      </c>
      <c r="H4" s="24" t="str">
        <v>cat.color | wcag2aa | wcag143 | TTv5 | TT13.c | EN-301-549 | EN-9.1.4.3 | ACT | RGAAv4 | RGAA-3.2.1</v>
      </c>
    </row>
    <row r="5" spans="1:8" ht="90" x14ac:dyDescent="0.25">
      <c r="A5" s="24" t="str">
        <v>home</v>
      </c>
      <c r="B5" s="24" t="str">
        <v>https://taxportal.mof.gov.cy/</v>
      </c>
      <c r="C5" s="24" t="str">
        <v>serious</v>
      </c>
      <c r="D5" s="24" t="str">
        <v>color-contrast</v>
      </c>
      <c r="E5" s="24" t="str">
        <v>Ensure the contrast between foreground and background colors meets WCAG 2 AA minimum contrast ratio thresholds</v>
      </c>
      <c r="F5" s="24" t="str">
        <v>a[a=""]</v>
      </c>
      <c r="G5" s="24" t="str">
        <v>2026-01-30T08:26:16.437Z</v>
      </c>
      <c r="H5" s="24" t="str">
        <v>cat.color | wcag2aa | wcag143 | TTv5 | TT13.c | EN-301-549 | EN-9.1.4.3 | ACT | RGAAv4 | RGAA-3.2.1</v>
      </c>
    </row>
    <row r="6" spans="1:8" ht="90" x14ac:dyDescent="0.25">
      <c r="A6" s="24" t="str">
        <v>home</v>
      </c>
      <c r="B6" s="24" t="str">
        <v>https://taxportal.mof.gov.cy/</v>
      </c>
      <c r="C6" s="24" t="str">
        <v>serious</v>
      </c>
      <c r="D6" s="24" t="str">
        <v>color-contrast</v>
      </c>
      <c r="E6" s="24" t="str">
        <v>Ensure the contrast between foreground and background colors meets WCAG 2 AA minimum contrast ratio thresholds</v>
      </c>
      <c r="F6" s="24" t="str">
        <v>button</v>
      </c>
      <c r="G6" s="24" t="str">
        <v>2026-01-30T08:26:16.437Z</v>
      </c>
      <c r="H6" s="24" t="str">
        <v>cat.color | wcag2aa | wcag143 | TTv5 | TT13.c | EN-301-549 | EN-9.1.4.3 | ACT | RGAAv4 | RGAA-3.2.1</v>
      </c>
    </row>
    <row r="7" spans="1:8" ht="90" x14ac:dyDescent="0.25">
      <c r="A7" s="24" t="str">
        <v>home</v>
      </c>
      <c r="B7" s="24" t="str">
        <v>https://taxportal.mof.gov.cy/</v>
      </c>
      <c r="C7" s="24" t="str">
        <v>serious</v>
      </c>
      <c r="D7" s="24" t="str">
        <v>color-contrast</v>
      </c>
      <c r="E7" s="24" t="str">
        <v>Ensure the contrast between foreground and background colors meets WCAG 2 AA minimum contrast ratio thresholds</v>
      </c>
      <c r="F7" s="24" t="str">
        <v>.btn-lg</v>
      </c>
      <c r="G7" s="24" t="str">
        <v>2026-01-30T08:26:16.437Z</v>
      </c>
      <c r="H7" s="24" t="str">
        <v>cat.color | wcag2aa | wcag143 | TTv5 | TT13.c | EN-301-549 | EN-9.1.4.3 | ACT | RGAAv4 | RGAA-3.2.1</v>
      </c>
    </row>
    <row r="8" spans="1:8" ht="30" x14ac:dyDescent="0.25">
      <c r="A8" s="24" t="str">
        <v>home</v>
      </c>
      <c r="B8" s="24" t="str">
        <v>https://taxportal.mof.gov.cy/</v>
      </c>
      <c r="C8" s="24" t="str">
        <v>moderate</v>
      </c>
      <c r="D8" s="24" t="str">
        <v>heading-order</v>
      </c>
      <c r="E8" s="24" t="str">
        <v>Ensure the order of headings is semantically correct</v>
      </c>
      <c r="F8" s="24" t="str">
        <v>h5</v>
      </c>
      <c r="G8" s="24" t="str">
        <v>2026-01-30T08:26:16.437Z</v>
      </c>
      <c r="H8" s="24" t="str">
        <v>cat.semantics | best-practice</v>
      </c>
    </row>
    <row r="9" spans="1:8" ht="90" x14ac:dyDescent="0.25">
      <c r="A9" s="24" t="str">
        <v>home</v>
      </c>
      <c r="B9" s="24" t="str">
        <v>https://taxportal.mof.gov.cy/</v>
      </c>
      <c r="C9" s="24" t="str">
        <v>serious</v>
      </c>
      <c r="D9" s="24" t="str">
        <v>html-has-lang</v>
      </c>
      <c r="E9" s="24" t="str">
        <v>Ensure every HTML document has a lang attribute</v>
      </c>
      <c r="F9" s="24" t="str">
        <v>html</v>
      </c>
      <c r="G9" s="24" t="str">
        <v>2026-01-30T08:26:16.437Z</v>
      </c>
      <c r="H9" s="24" t="str">
        <v>cat.language | wcag2a | wcag311 | TTv5 | TT11.a | EN-301-549 | EN-9.3.1.1 | ACT | RGAAv4 | RGAA-8.3.1</v>
      </c>
    </row>
    <row r="10" spans="1:8" ht="135" x14ac:dyDescent="0.25">
      <c r="A10" s="24" t="str">
        <v>home</v>
      </c>
      <c r="B10" s="24" t="str">
        <v>https://taxportal.mof.gov.cy/</v>
      </c>
      <c r="C10" s="24" t="str">
        <v>critical</v>
      </c>
      <c r="D10" s="24" t="str">
        <v>image-alt</v>
      </c>
      <c r="E10" s="24" t="str">
        <v>Ensure &lt;img&gt; elements have alternative text or a role of none or presentation</v>
      </c>
      <c r="F10" s="24" t="str">
        <v>li:nth-child(2) &gt; img</v>
      </c>
      <c r="G10" s="24" t="str">
        <v>2026-01-30T08:26:16.437Z</v>
      </c>
      <c r="H10" s="24" t="str">
        <v>cat.text-alternatives | wcag2a | wcag111 | section508 | section508.22.a | TTv5 | TT7.a | TT7.b | EN-301-549 | EN-9.1.1.1 | ACT | RGAAv4 | RGAA-1.1.1</v>
      </c>
    </row>
    <row r="11" spans="1:8" ht="135" x14ac:dyDescent="0.25">
      <c r="A11" s="24" t="str">
        <v>home</v>
      </c>
      <c r="B11" s="24" t="str">
        <v>https://taxportal.mof.gov.cy/</v>
      </c>
      <c r="C11" s="24" t="str">
        <v>critical</v>
      </c>
      <c r="D11" s="24" t="str">
        <v>image-alt</v>
      </c>
      <c r="E11" s="24" t="str">
        <v>Ensure &lt;img&gt; elements have alternative text or a role of none or presentation</v>
      </c>
      <c r="F11" s="24" t="str">
        <v>a[href="/Language/Set?lang=en-gb"] &gt; img</v>
      </c>
      <c r="G11" s="24" t="str">
        <v>2026-01-30T08:26:16.437Z</v>
      </c>
      <c r="H11" s="24" t="str">
        <v>cat.text-alternatives | wcag2a | wcag111 | section508 | section508.22.a | TTv5 | TT7.a | TT7.b | EN-301-549 | EN-9.1.1.1 | ACT | RGAAv4 | RGAA-1.1.1</v>
      </c>
    </row>
    <row r="12" spans="1:8" ht="135" x14ac:dyDescent="0.25">
      <c r="A12" s="24" t="str">
        <v>home</v>
      </c>
      <c r="B12" s="24" t="str">
        <v>https://taxportal.mof.gov.cy/</v>
      </c>
      <c r="C12" s="24" t="str">
        <v>critical</v>
      </c>
      <c r="D12" s="24" t="str">
        <v>image-alt</v>
      </c>
      <c r="E12" s="24" t="str">
        <v>Ensure &lt;img&gt; elements have alternative text or a role of none or presentation</v>
      </c>
      <c r="F12" s="24" t="str">
        <v>img[src$="cy_logo_sm.png"]</v>
      </c>
      <c r="G12" s="24" t="str">
        <v>2026-01-30T08:26:16.437Z</v>
      </c>
      <c r="H12" s="24" t="str">
        <v>cat.text-alternatives | wcag2a | wcag111 | section508 | section508.22.a | TTv5 | TT7.a | TT7.b | EN-301-549 | EN-9.1.1.1 | ACT | RGAAv4 | RGAA-1.1.1</v>
      </c>
    </row>
    <row r="13" spans="1:8" ht="30" x14ac:dyDescent="0.25">
      <c r="A13" s="24" t="str">
        <v>home</v>
      </c>
      <c r="B13" s="24" t="str">
        <v>https://taxportal.mof.gov.cy/</v>
      </c>
      <c r="C13" s="24" t="str">
        <v>moderate</v>
      </c>
      <c r="D13" s="24" t="str">
        <v>landmark-unique</v>
      </c>
      <c r="E13" s="24" t="str">
        <v>Ensure landmarks are unique</v>
      </c>
      <c r="F13" s="24" t="str">
        <v>.navbar-default</v>
      </c>
      <c r="G13" s="24" t="str">
        <v>2026-01-30T08:26:16.437Z</v>
      </c>
      <c r="H13" s="24" t="str">
        <v>cat.semantics | best-practice</v>
      </c>
    </row>
    <row r="14" spans="1:8" ht="150" x14ac:dyDescent="0.25">
      <c r="A14" s="24" t="str">
        <v>home</v>
      </c>
      <c r="B14" s="24" t="str">
        <v>https://taxportal.mof.gov.cy/</v>
      </c>
      <c r="C14" s="24" t="str">
        <v>serious</v>
      </c>
      <c r="D14" s="24" t="str">
        <v>link-name</v>
      </c>
      <c r="E14" s="24" t="str">
        <v>Ensure links have discernible text</v>
      </c>
      <c r="F14" s="24" t="str">
        <v>.navbar-minimalize</v>
      </c>
      <c r="G14" s="24" t="str">
        <v>2026-01-30T08:26:16.437Z</v>
      </c>
      <c r="H14" s="24" t="str">
        <v>cat.name-role-value | wcag2a | wcag244 | wcag412 | section508 | section508.22.a | TTv5 | TT6.a | EN-301-549 | EN-9.2.4.4 | EN-9.4.1.2 | ACT | RGAAv4 | RGAA-6.2.1</v>
      </c>
    </row>
    <row r="15" spans="1:8" ht="150" x14ac:dyDescent="0.25">
      <c r="A15" s="24" t="str">
        <v>home</v>
      </c>
      <c r="B15" s="24" t="str">
        <v>https://taxportal.mof.gov.cy/</v>
      </c>
      <c r="C15" s="24" t="str">
        <v>serious</v>
      </c>
      <c r="D15" s="24" t="str">
        <v>link-name</v>
      </c>
      <c r="E15" s="24" t="str">
        <v>Ensure links have discernible text</v>
      </c>
      <c r="F15" s="24" t="str">
        <v>a[href="/Language/Set?lang=en-gb"]</v>
      </c>
      <c r="G15" s="24" t="str">
        <v>2026-01-30T08:26:16.437Z</v>
      </c>
      <c r="H15" s="24" t="str">
        <v>cat.name-role-value | wcag2a | wcag244 | wcag412 | section508 | section508.22.a | TTv5 | TT6.a | EN-301-549 | EN-9.2.4.4 | EN-9.4.1.2 | ACT | RGAAv4 | RGAA-6.2.1</v>
      </c>
    </row>
    <row r="16" spans="1:8" ht="45" x14ac:dyDescent="0.25">
      <c r="A16" s="24" t="str">
        <v>home</v>
      </c>
      <c r="B16" s="24" t="str">
        <v>https://taxportal.mof.gov.cy/</v>
      </c>
      <c r="C16" s="24" t="str">
        <v>moderate</v>
      </c>
      <c r="D16" s="24" t="str">
        <v>region</v>
      </c>
      <c r="E16" s="24" t="str">
        <v>Ensure all page content is contained by landmarks</v>
      </c>
      <c r="F16" s="24" t="str">
        <v>.row:nth-child(5)</v>
      </c>
      <c r="G16" s="24" t="str">
        <v>2026-01-30T08:26:16.437Z</v>
      </c>
      <c r="H16" s="24" t="str">
        <v>cat.keyboard | best-practice | RGAAv4 | RGAA-9.2.1</v>
      </c>
    </row>
    <row r="17" spans="1:8" ht="45" x14ac:dyDescent="0.25">
      <c r="A17" s="24" t="str">
        <v>home</v>
      </c>
      <c r="B17" s="24" t="str">
        <v>https://taxportal.mof.gov.cy/</v>
      </c>
      <c r="C17" s="24" t="str">
        <v>moderate</v>
      </c>
      <c r="D17" s="24" t="str">
        <v>region</v>
      </c>
      <c r="E17" s="24" t="str">
        <v>Ensure all page content is contained by landmarks</v>
      </c>
      <c r="F17" s="24" t="str">
        <v>.row:nth-child(7)</v>
      </c>
      <c r="G17" s="24" t="str">
        <v>2026-01-30T08:26:16.437Z</v>
      </c>
      <c r="H17" s="24" t="str">
        <v>cat.keyboard | best-practice | RGAAv4 | RGAA-9.2.1</v>
      </c>
    </row>
    <row r="18" spans="1:8" ht="45" x14ac:dyDescent="0.25">
      <c r="A18" s="24" t="str">
        <v>home</v>
      </c>
      <c r="B18" s="24" t="str">
        <v>https://taxportal.mof.gov.cy/</v>
      </c>
      <c r="C18" s="24" t="str">
        <v>moderate</v>
      </c>
      <c r="D18" s="24" t="str">
        <v>region</v>
      </c>
      <c r="E18" s="24" t="str">
        <v>Ensure all page content is contained by landmarks</v>
      </c>
      <c r="F18" s="24" t="str">
        <v>.row:nth-child(8)</v>
      </c>
      <c r="G18" s="24" t="str">
        <v>2026-01-30T08:26:16.437Z</v>
      </c>
      <c r="H18" s="24" t="str">
        <v>cat.keyboard | best-practice | RGAAv4 | RGAA-9.2.1</v>
      </c>
    </row>
    <row r="19" spans="1:8" ht="45" x14ac:dyDescent="0.25">
      <c r="A19" s="24" t="str">
        <v>home</v>
      </c>
      <c r="B19" s="24" t="str">
        <v>https://taxportal.mof.gov.cy/</v>
      </c>
      <c r="C19" s="24" t="str">
        <v>moderate</v>
      </c>
      <c r="D19" s="24" t="str">
        <v>region</v>
      </c>
      <c r="E19" s="24" t="str">
        <v>Ensure all page content is contained by landmarks</v>
      </c>
      <c r="F19" s="24" t="str">
        <v>.footer</v>
      </c>
      <c r="G19" s="24" t="str">
        <v>2026-01-30T08:26:16.437Z</v>
      </c>
      <c r="H19" s="24" t="str">
        <v>cat.keyboard | best-practice | RGAAv4 | RGAA-9.2.1</v>
      </c>
    </row>
    <row r="20" spans="1:8" ht="30" x14ac:dyDescent="0.25">
      <c r="A20" s="24" t="str">
        <v>login</v>
      </c>
      <c r="B20" s="24" t="str">
        <v>https://taxportal.mof.gov.cy/Account/Login</v>
      </c>
      <c r="C20" s="24" t="str">
        <v>serious</v>
      </c>
      <c r="D20" s="24" t="str">
        <v>aria-dialog-name</v>
      </c>
      <c r="E20" s="24" t="str">
        <v>Ensure every ARIA dialog and alertdialog node has an accessible name</v>
      </c>
      <c r="F20" s="24" t="str">
        <v>#cookieConsent</v>
      </c>
      <c r="G20" s="24" t="str">
        <v>2026-01-30T08:26:19.256Z</v>
      </c>
      <c r="H20" s="24" t="str">
        <v>cat.aria | best-practice</v>
      </c>
    </row>
    <row r="21" spans="1:8" ht="90" x14ac:dyDescent="0.25">
      <c r="A21" s="24" t="str">
        <v>login</v>
      </c>
      <c r="B21" s="24" t="str">
        <v>https://taxportal.mof.gov.cy/Account/Login</v>
      </c>
      <c r="C21" s="24" t="str">
        <v>serious</v>
      </c>
      <c r="D21" s="24" t="str">
        <v>color-contrast</v>
      </c>
      <c r="E21" s="24" t="str">
        <v>Ensure the contrast between foreground and background colors meets WCAG 2 AA minimum contrast ratio thresholds</v>
      </c>
      <c r="F21" s="24" t="str">
        <v>.navbar-text:nth-child(1) &gt; .btn-link.btn[target="_blank"]</v>
      </c>
      <c r="G21" s="24" t="str">
        <v>2026-01-30T08:26:19.256Z</v>
      </c>
      <c r="H21" s="24" t="str">
        <v>cat.color | wcag2aa | wcag143 | TTv5 | TT13.c | EN-301-549 | EN-9.1.4.3 | ACT | RGAAv4 | RGAA-3.2.1</v>
      </c>
    </row>
    <row r="22" spans="1:8" ht="90" x14ac:dyDescent="0.25">
      <c r="A22" s="24" t="str">
        <v>login</v>
      </c>
      <c r="B22" s="24" t="str">
        <v>https://taxportal.mof.gov.cy/Account/Login</v>
      </c>
      <c r="C22" s="24" t="str">
        <v>serious</v>
      </c>
      <c r="D22" s="24" t="str">
        <v>color-contrast</v>
      </c>
      <c r="E22" s="24" t="str">
        <v>Ensure the contrast between foreground and background colors meets WCAG 2 AA minimum contrast ratio thresholds</v>
      </c>
      <c r="F22" s="24" t="str">
        <v>a[a=""]</v>
      </c>
      <c r="G22" s="24" t="str">
        <v>2026-01-30T08:26:19.256Z</v>
      </c>
      <c r="H22" s="24" t="str">
        <v>cat.color | wcag2aa | wcag143 | TTv5 | TT13.c | EN-301-549 | EN-9.1.4.3 | ACT | RGAAv4 | RGAA-3.2.1</v>
      </c>
    </row>
    <row r="23" spans="1:8" ht="90" x14ac:dyDescent="0.25">
      <c r="A23" s="24" t="str">
        <v>login</v>
      </c>
      <c r="B23" s="24" t="str">
        <v>https://taxportal.mof.gov.cy/Account/Login</v>
      </c>
      <c r="C23" s="24" t="str">
        <v>serious</v>
      </c>
      <c r="D23" s="24" t="str">
        <v>color-contrast</v>
      </c>
      <c r="E23" s="24" t="str">
        <v>Ensure the contrast between foreground and background colors meets WCAG 2 AA minimum contrast ratio thresholds</v>
      </c>
      <c r="F23" s="24" t="str">
        <v>.btn-info</v>
      </c>
      <c r="G23" s="24" t="str">
        <v>2026-01-30T08:26:19.256Z</v>
      </c>
      <c r="H23" s="24" t="str">
        <v>cat.color | wcag2aa | wcag143 | TTv5 | TT13.c | EN-301-549 | EN-9.1.4.3 | ACT | RGAAv4 | RGAA-3.2.1</v>
      </c>
    </row>
    <row r="24" spans="1:8" ht="90" x14ac:dyDescent="0.25">
      <c r="A24" s="24" t="str">
        <v>login</v>
      </c>
      <c r="B24" s="24" t="str">
        <v>https://taxportal.mof.gov.cy/Account/Login</v>
      </c>
      <c r="C24" s="24" t="str">
        <v>serious</v>
      </c>
      <c r="D24" s="24" t="str">
        <v>color-contrast</v>
      </c>
      <c r="E24" s="24" t="str">
        <v>Ensure the contrast between foreground and background colors meets WCAG 2 AA minimum contrast ratio thresholds</v>
      </c>
      <c r="F24" s="24" t="str">
        <v>.btn-primary</v>
      </c>
      <c r="G24" s="24" t="str">
        <v>2026-01-30T08:26:19.256Z</v>
      </c>
      <c r="H24" s="24" t="str">
        <v>cat.color | wcag2aa | wcag143 | TTv5 | TT13.c | EN-301-549 | EN-9.1.4.3 | ACT | RGAAv4 | RGAA-3.2.1</v>
      </c>
    </row>
    <row r="25" spans="1:8" ht="90" x14ac:dyDescent="0.25">
      <c r="A25" s="24" t="str">
        <v>login</v>
      </c>
      <c r="B25" s="24" t="str">
        <v>https://taxportal.mof.gov.cy/Account/Login</v>
      </c>
      <c r="C25" s="24" t="str">
        <v>serious</v>
      </c>
      <c r="D25" s="24" t="str">
        <v>html-has-lang</v>
      </c>
      <c r="E25" s="24" t="str">
        <v>Ensure every HTML document has a lang attribute</v>
      </c>
      <c r="F25" s="24" t="str">
        <v>html</v>
      </c>
      <c r="G25" s="24" t="str">
        <v>2026-01-30T08:26:19.256Z</v>
      </c>
      <c r="H25" s="24" t="str">
        <v>cat.language | wcag2a | wcag311 | TTv5 | TT11.a | EN-301-549 | EN-9.3.1.1 | ACT | RGAAv4 | RGAA-8.3.1</v>
      </c>
    </row>
    <row r="26" spans="1:8" ht="135" x14ac:dyDescent="0.25">
      <c r="A26" s="24" t="str">
        <v>login</v>
      </c>
      <c r="B26" s="24" t="str">
        <v>https://taxportal.mof.gov.cy/Account/Login</v>
      </c>
      <c r="C26" s="24" t="str">
        <v>critical</v>
      </c>
      <c r="D26" s="24" t="str">
        <v>image-alt</v>
      </c>
      <c r="E26" s="24" t="str">
        <v>Ensure &lt;img&gt; elements have alternative text or a role of none or presentation</v>
      </c>
      <c r="F26" s="24" t="str">
        <v>img[src$="Greece.png"]</v>
      </c>
      <c r="G26" s="24" t="str">
        <v>2026-01-30T08:26:19.256Z</v>
      </c>
      <c r="H26" s="24" t="str">
        <v>cat.text-alternatives | wcag2a | wcag111 | section508 | section508.22.a | TTv5 | TT7.a | TT7.b | EN-301-549 | EN-9.1.1.1 | ACT | RGAAv4 | RGAA-1.1.1</v>
      </c>
    </row>
    <row r="27" spans="1:8" ht="135" x14ac:dyDescent="0.25">
      <c r="A27" s="24" t="str">
        <v>login</v>
      </c>
      <c r="B27" s="24" t="str">
        <v>https://taxportal.mof.gov.cy/Account/Login</v>
      </c>
      <c r="C27" s="24" t="str">
        <v>critical</v>
      </c>
      <c r="D27" s="24" t="str">
        <v>image-alt</v>
      </c>
      <c r="E27" s="24" t="str">
        <v>Ensure &lt;img&gt; elements have alternative text or a role of none or presentation</v>
      </c>
      <c r="F27" s="24" t="str">
        <v>a[href="/Language/Set?lang=en-gb"] &gt; img</v>
      </c>
      <c r="G27" s="24" t="str">
        <v>2026-01-30T08:26:19.256Z</v>
      </c>
      <c r="H27" s="24" t="str">
        <v>cat.text-alternatives | wcag2a | wcag111 | section508 | section508.22.a | TTv5 | TT7.a | TT7.b | EN-301-549 | EN-9.1.1.1 | ACT | RGAAv4 | RGAA-1.1.1</v>
      </c>
    </row>
    <row r="28" spans="1:8" ht="135" x14ac:dyDescent="0.25">
      <c r="A28" s="24" t="str">
        <v>login</v>
      </c>
      <c r="B28" s="24" t="str">
        <v>https://taxportal.mof.gov.cy/Account/Login</v>
      </c>
      <c r="C28" s="24" t="str">
        <v>critical</v>
      </c>
      <c r="D28" s="24" t="str">
        <v>image-alt</v>
      </c>
      <c r="E28" s="24" t="str">
        <v>Ensure &lt;img&gt; elements have alternative text or a role of none or presentation</v>
      </c>
      <c r="F28" s="24" t="str">
        <v>#img-captcha</v>
      </c>
      <c r="G28" s="24" t="str">
        <v>2026-01-30T08:26:19.256Z</v>
      </c>
      <c r="H28" s="24" t="str">
        <v>cat.text-alternatives | wcag2a | wcag111 | section508 | section508.22.a | TTv5 | TT7.a | TT7.b | EN-301-549 | EN-9.1.1.1 | ACT | RGAAv4 | RGAA-1.1.1</v>
      </c>
    </row>
    <row r="29" spans="1:8" ht="120" x14ac:dyDescent="0.25">
      <c r="A29" s="24" t="str">
        <v>login</v>
      </c>
      <c r="B29" s="24" t="str">
        <v>https://taxportal.mof.gov.cy/Account/Login</v>
      </c>
      <c r="C29" s="24" t="str">
        <v>critical</v>
      </c>
      <c r="D29" s="24" t="str">
        <v>label</v>
      </c>
      <c r="E29" s="24" t="str">
        <v>Ensure every form element has a label</v>
      </c>
      <c r="F29" s="24" t="str">
        <v>#Username</v>
      </c>
      <c r="G29" s="24" t="str">
        <v>2026-01-30T08:26:19.256Z</v>
      </c>
      <c r="H29" s="24" t="str">
        <v>cat.forms | wcag2a | wcag412 | section508 | section508.22.n | TTv5 | TT5.c | EN-301-549 | EN-9.4.1.2 | ACT | RGAAv4 | RGAA-11.1.1</v>
      </c>
    </row>
    <row r="30" spans="1:8" ht="120" x14ac:dyDescent="0.25">
      <c r="A30" s="24" t="str">
        <v>login</v>
      </c>
      <c r="B30" s="24" t="str">
        <v>https://taxportal.mof.gov.cy/Account/Login</v>
      </c>
      <c r="C30" s="24" t="str">
        <v>critical</v>
      </c>
      <c r="D30" s="24" t="str">
        <v>label</v>
      </c>
      <c r="E30" s="24" t="str">
        <v>Ensure every form element has a label</v>
      </c>
      <c r="F30" s="24" t="str">
        <v>#Password</v>
      </c>
      <c r="G30" s="24" t="str">
        <v>2026-01-30T08:26:19.256Z</v>
      </c>
      <c r="H30" s="24" t="str">
        <v>cat.forms | wcag2a | wcag412 | section508 | section508.22.n | TTv5 | TT5.c | EN-301-549 | EN-9.4.1.2 | ACT | RGAAv4 | RGAA-11.1.1</v>
      </c>
    </row>
    <row r="31" spans="1:8" ht="120" x14ac:dyDescent="0.25">
      <c r="A31" s="24" t="str">
        <v>login</v>
      </c>
      <c r="B31" s="24" t="str">
        <v>https://taxportal.mof.gov.cy/Account/Login</v>
      </c>
      <c r="C31" s="24" t="str">
        <v>critical</v>
      </c>
      <c r="D31" s="24" t="str">
        <v>label</v>
      </c>
      <c r="E31" s="24" t="str">
        <v>Ensure every form element has a label</v>
      </c>
      <c r="F31" s="24" t="str">
        <v>#CaptchaCode</v>
      </c>
      <c r="G31" s="24" t="str">
        <v>2026-01-30T08:26:19.256Z</v>
      </c>
      <c r="H31" s="24" t="str">
        <v>cat.forms | wcag2a | wcag412 | section508 | section508.22.n | TTv5 | TT5.c | EN-301-549 | EN-9.4.1.2 | ACT | RGAAv4 | RGAA-11.1.1</v>
      </c>
    </row>
    <row r="32" spans="1:8" ht="150" x14ac:dyDescent="0.25">
      <c r="A32" s="24" t="str">
        <v>login</v>
      </c>
      <c r="B32" s="24" t="str">
        <v>https://taxportal.mof.gov.cy/Account/Login</v>
      </c>
      <c r="C32" s="24" t="str">
        <v>serious</v>
      </c>
      <c r="D32" s="24" t="str">
        <v>link-name</v>
      </c>
      <c r="E32" s="24" t="str">
        <v>Ensure links have discernible text</v>
      </c>
      <c r="F32" s="24" t="str">
        <v>a[href="/"]</v>
      </c>
      <c r="G32" s="24" t="str">
        <v>2026-01-30T08:26:19.256Z</v>
      </c>
      <c r="H32" s="24" t="str">
        <v>cat.name-role-value | wcag2a | wcag244 | wcag412 | section508 | section508.22.a | TTv5 | TT6.a | EN-301-549 | EN-9.2.4.4 | EN-9.4.1.2 | ACT | RGAAv4 | RGAA-6.2.1</v>
      </c>
    </row>
    <row r="33" spans="1:8" ht="150" x14ac:dyDescent="0.25">
      <c r="A33" s="24" t="str">
        <v>login</v>
      </c>
      <c r="B33" s="24" t="str">
        <v>https://taxportal.mof.gov.cy/Account/Login</v>
      </c>
      <c r="C33" s="24" t="str">
        <v>serious</v>
      </c>
      <c r="D33" s="24" t="str">
        <v>link-name</v>
      </c>
      <c r="E33" s="24" t="str">
        <v>Ensure links have discernible text</v>
      </c>
      <c r="F33" s="24" t="str">
        <v>a[href="/Language/Set?lang=el"]</v>
      </c>
      <c r="G33" s="24" t="str">
        <v>2026-01-30T08:26:19.256Z</v>
      </c>
      <c r="H33" s="24" t="str">
        <v>cat.name-role-value | wcag2a | wcag244 | wcag412 | section508 | section508.22.a | TTv5 | TT6.a | EN-301-549 | EN-9.2.4.4 | EN-9.4.1.2 | ACT | RGAAv4 | RGAA-6.2.1</v>
      </c>
    </row>
    <row r="34" spans="1:8" ht="150" x14ac:dyDescent="0.25">
      <c r="A34" s="24" t="str">
        <v>login</v>
      </c>
      <c r="B34" s="24" t="str">
        <v>https://taxportal.mof.gov.cy/Account/Login</v>
      </c>
      <c r="C34" s="24" t="str">
        <v>serious</v>
      </c>
      <c r="D34" s="24" t="str">
        <v>link-name</v>
      </c>
      <c r="E34" s="24" t="str">
        <v>Ensure links have discernible text</v>
      </c>
      <c r="F34" s="24" t="str">
        <v>a[href="/Language/Set?lang=en-gb"]</v>
      </c>
      <c r="G34" s="24" t="str">
        <v>2026-01-30T08:26:19.256Z</v>
      </c>
      <c r="H34" s="24" t="str">
        <v>cat.name-role-value | wcag2a | wcag244 | wcag412 | section508 | section508.22.a | TTv5 | TT6.a | EN-301-549 | EN-9.2.4.4 | EN-9.4.1.2 | ACT | RGAAv4 | RGAA-6.2.1</v>
      </c>
    </row>
    <row r="35" spans="1:8" ht="45" x14ac:dyDescent="0.25">
      <c r="A35" s="24" t="str">
        <v>login</v>
      </c>
      <c r="B35" s="24" t="str">
        <v>https://taxportal.mof.gov.cy/Account/Login</v>
      </c>
      <c r="C35" s="24" t="str">
        <v>moderate</v>
      </c>
      <c r="D35" s="24" t="str">
        <v>region</v>
      </c>
      <c r="E35" s="24" t="str">
        <v>Ensure all page content is contained by landmarks</v>
      </c>
      <c r="F35" s="24" t="str">
        <v>div:nth-child(1) &gt; .text-right</v>
      </c>
      <c r="G35" s="24" t="str">
        <v>2026-01-30T08:26:19.256Z</v>
      </c>
      <c r="H35" s="24" t="str">
        <v>cat.keyboard | best-practice | RGAAv4 | RGAA-9.2.1</v>
      </c>
    </row>
    <row r="36" spans="1:8" ht="45" x14ac:dyDescent="0.25">
      <c r="A36" s="24" t="str">
        <v>login</v>
      </c>
      <c r="B36" s="24" t="str">
        <v>https://taxportal.mof.gov.cy/Account/Login</v>
      </c>
      <c r="C36" s="24" t="str">
        <v>moderate</v>
      </c>
      <c r="D36" s="24" t="str">
        <v>region</v>
      </c>
      <c r="E36" s="24" t="str">
        <v>Ensure all page content is contained by landmarks</v>
      </c>
      <c r="F36" s="24" t="str">
        <v>.row:nth-child(1) &gt; .col-md-6:nth-child(1)</v>
      </c>
      <c r="G36" s="24" t="str">
        <v>2026-01-30T08:26:19.256Z</v>
      </c>
      <c r="H36" s="24" t="str">
        <v>cat.keyboard | best-practice | RGAAv4 | RGAA-9.2.1</v>
      </c>
    </row>
    <row r="37" spans="1:8" ht="45" x14ac:dyDescent="0.25">
      <c r="A37" s="24" t="str">
        <v>login</v>
      </c>
      <c r="B37" s="24" t="str">
        <v>https://taxportal.mof.gov.cy/Account/Login</v>
      </c>
      <c r="C37" s="24" t="str">
        <v>moderate</v>
      </c>
      <c r="D37" s="24" t="str">
        <v>region</v>
      </c>
      <c r="E37" s="24" t="str">
        <v>Ensure all page content is contained by landmarks</v>
      </c>
      <c r="F37" s="24" t="str">
        <v>.m-t</v>
      </c>
      <c r="G37" s="24" t="str">
        <v>2026-01-30T08:26:19.256Z</v>
      </c>
      <c r="H37" s="24" t="str">
        <v>cat.keyboard | best-practice | RGAAv4 | RGAA-9.2.1</v>
      </c>
    </row>
    <row r="38" spans="1:8" ht="45" x14ac:dyDescent="0.25">
      <c r="A38" s="24" t="str">
        <v>login</v>
      </c>
      <c r="B38" s="24" t="str">
        <v>https://taxportal.mof.gov.cy/Account/Login</v>
      </c>
      <c r="C38" s="24" t="str">
        <v>moderate</v>
      </c>
      <c r="D38" s="24" t="str">
        <v>region</v>
      </c>
      <c r="E38" s="24" t="str">
        <v>Ensure all page content is contained by landmarks</v>
      </c>
      <c r="F38" s="24" t="str">
        <v>.row:nth-child(3)</v>
      </c>
      <c r="G38" s="24" t="str">
        <v>2026-01-30T08:26:19.256Z</v>
      </c>
      <c r="H38" s="24" t="str">
        <v>cat.keyboard | best-practice | RGAAv4 | RGAA-9.2.1</v>
      </c>
    </row>
    <row r="39" spans="1:8" ht="30" x14ac:dyDescent="0.25">
      <c r="A39" s="24" t="str">
        <v>faq</v>
      </c>
      <c r="B39" s="24" t="str">
        <v>https://taxportal.mof.gov.cy/Home/About</v>
      </c>
      <c r="C39" s="24" t="str">
        <v>serious</v>
      </c>
      <c r="D39" s="24" t="str">
        <v>aria-dialog-name</v>
      </c>
      <c r="E39" s="24" t="str">
        <v>Ensure every ARIA dialog and alertdialog node has an accessible name</v>
      </c>
      <c r="F39" s="24" t="str">
        <v>#cookieConsent</v>
      </c>
      <c r="G39" s="24" t="str">
        <v>2026-01-30T08:26:22.638Z</v>
      </c>
      <c r="H39" s="24" t="str">
        <v>cat.aria | best-practice</v>
      </c>
    </row>
    <row r="40" spans="1:8" ht="90" x14ac:dyDescent="0.25">
      <c r="A40" s="24" t="str">
        <v>faq</v>
      </c>
      <c r="B40" s="24" t="str">
        <v>https://taxportal.mof.gov.cy/Home/About</v>
      </c>
      <c r="C40" s="24" t="str">
        <v>serious</v>
      </c>
      <c r="D40" s="24" t="str">
        <v>color-contrast</v>
      </c>
      <c r="E40" s="24" t="str">
        <v>Ensure the contrast between foreground and background colors meets WCAG 2 AA minimum contrast ratio thresholds</v>
      </c>
      <c r="F40" s="24" t="str">
        <v>a[href$="Login"] &gt; .nav-label</v>
      </c>
      <c r="G40" s="24" t="str">
        <v>2026-01-30T08:26:22.638Z</v>
      </c>
      <c r="H40" s="24" t="str">
        <v>cat.color | wcag2aa | wcag143 | TTv5 | TT13.c | EN-301-549 | EN-9.1.4.3 | ACT | RGAAv4 | RGAA-3.2.1</v>
      </c>
    </row>
    <row r="41" spans="1:8" ht="90" x14ac:dyDescent="0.25">
      <c r="A41" s="24" t="str">
        <v>faq</v>
      </c>
      <c r="B41" s="24" t="str">
        <v>https://taxportal.mof.gov.cy/Home/About</v>
      </c>
      <c r="C41" s="24" t="str">
        <v>serious</v>
      </c>
      <c r="D41" s="24" t="str">
        <v>color-contrast</v>
      </c>
      <c r="E41" s="24" t="str">
        <v>Ensure the contrast between foreground and background colors meets WCAG 2 AA minimum contrast ratio thresholds</v>
      </c>
      <c r="F41" s="24" t="str">
        <v>.navbar-text:nth-child(1) &gt; .btn-link.btn[target="_blank"]</v>
      </c>
      <c r="G41" s="24" t="str">
        <v>2026-01-30T08:26:22.638Z</v>
      </c>
      <c r="H41" s="24" t="str">
        <v>cat.color | wcag2aa | wcag143 | TTv5 | TT13.c | EN-301-549 | EN-9.1.4.3 | ACT | RGAAv4 | RGAA-3.2.1</v>
      </c>
    </row>
    <row r="42" spans="1:8" ht="90" x14ac:dyDescent="0.25">
      <c r="A42" s="24" t="str">
        <v>faq</v>
      </c>
      <c r="B42" s="24" t="str">
        <v>https://taxportal.mof.gov.cy/Home/About</v>
      </c>
      <c r="C42" s="24" t="str">
        <v>serious</v>
      </c>
      <c r="D42" s="24" t="str">
        <v>color-contrast</v>
      </c>
      <c r="E42" s="24" t="str">
        <v>Ensure the contrast between foreground and background colors meets WCAG 2 AA minimum contrast ratio thresholds</v>
      </c>
      <c r="F42" s="24" t="str">
        <v>a[a=""]</v>
      </c>
      <c r="G42" s="24" t="str">
        <v>2026-01-30T08:26:22.638Z</v>
      </c>
      <c r="H42" s="24" t="str">
        <v>cat.color | wcag2aa | wcag143 | TTv5 | TT13.c | EN-301-549 | EN-9.1.4.3 | ACT | RGAAv4 | RGAA-3.2.1</v>
      </c>
    </row>
    <row r="43" spans="1:8" ht="90" x14ac:dyDescent="0.25">
      <c r="A43" s="24" t="str">
        <v>faq</v>
      </c>
      <c r="B43" s="24" t="str">
        <v>https://taxportal.mof.gov.cy/Home/About</v>
      </c>
      <c r="C43" s="24" t="str">
        <v>serious</v>
      </c>
      <c r="D43" s="24" t="str">
        <v>color-contrast</v>
      </c>
      <c r="E43" s="24" t="str">
        <v>Ensure the contrast between foreground and background colors meets WCAG 2 AA minimum contrast ratio thresholds</v>
      </c>
      <c r="F43" s="24" t="str">
        <v>button</v>
      </c>
      <c r="G43" s="24" t="str">
        <v>2026-01-30T08:26:22.638Z</v>
      </c>
      <c r="H43" s="24" t="str">
        <v>cat.color | wcag2aa | wcag143 | TTv5 | TT13.c | EN-301-549 | EN-9.1.4.3 | ACT | RGAAv4 | RGAA-3.2.1</v>
      </c>
    </row>
    <row r="44" spans="1:8" ht="90" x14ac:dyDescent="0.25">
      <c r="A44" s="24" t="str">
        <v>faq</v>
      </c>
      <c r="B44" s="24" t="str">
        <v>https://taxportal.mof.gov.cy/Home/About</v>
      </c>
      <c r="C44" s="24" t="str">
        <v>serious</v>
      </c>
      <c r="D44" s="24" t="str">
        <v>color-contrast</v>
      </c>
      <c r="E44" s="24" t="str">
        <v>Ensure the contrast between foreground and background colors meets WCAG 2 AA minimum contrast ratio thresholds</v>
      </c>
      <c r="F44" s="24" t="str">
        <v>a[href$="HowTo-GR.pdf"]</v>
      </c>
      <c r="G44" s="24" t="str">
        <v>2026-01-30T08:26:22.638Z</v>
      </c>
      <c r="H44" s="24" t="str">
        <v>cat.color | wcag2aa | wcag143 | TTv5 | TT13.c | EN-301-549 | EN-9.1.4.3 | ACT | RGAAv4 | RGAA-3.2.1</v>
      </c>
    </row>
    <row r="45" spans="1:8" ht="90" x14ac:dyDescent="0.25">
      <c r="A45" s="24" t="str">
        <v>faq</v>
      </c>
      <c r="B45" s="24" t="str">
        <v>https://taxportal.mof.gov.cy/Home/About</v>
      </c>
      <c r="C45" s="24" t="str">
        <v>serious</v>
      </c>
      <c r="D45" s="24" t="str">
        <v>color-contrast</v>
      </c>
      <c r="E45" s="24" t="str">
        <v>Ensure the contrast between foreground and background colors meets WCAG 2 AA minimum contrast ratio thresholds</v>
      </c>
      <c r="F45" s="24" t="str">
        <v>a[href$="HowTo-GR.zip"]</v>
      </c>
      <c r="G45" s="24" t="str">
        <v>2026-01-30T08:26:22.638Z</v>
      </c>
      <c r="H45" s="24" t="str">
        <v>cat.color | wcag2aa | wcag143 | TTv5 | TT13.c | EN-301-549 | EN-9.1.4.3 | ACT | RGAAv4 | RGAA-3.2.1</v>
      </c>
    </row>
    <row r="46" spans="1:8" ht="90" x14ac:dyDescent="0.25">
      <c r="A46" s="24" t="str">
        <v>faq</v>
      </c>
      <c r="B46" s="24" t="str">
        <v>https://taxportal.mof.gov.cy/Home/About</v>
      </c>
      <c r="C46" s="24" t="str">
        <v>serious</v>
      </c>
      <c r="D46" s="24" t="str">
        <v>color-contrast</v>
      </c>
      <c r="E46" s="24" t="str">
        <v>Ensure the contrast between foreground and background colors meets WCAG 2 AA minimum contrast ratio thresholds</v>
      </c>
      <c r="F46" s="24" t="str">
        <v>a[href$="ReviseTempAsm.pdf"]</v>
      </c>
      <c r="G46" s="24" t="str">
        <v>2026-01-30T08:26:22.638Z</v>
      </c>
      <c r="H46" s="24" t="str">
        <v>cat.color | wcag2aa | wcag143 | TTv5 | TT13.c | EN-301-549 | EN-9.1.4.3 | ACT | RGAAv4 | RGAA-3.2.1</v>
      </c>
    </row>
    <row r="47" spans="1:8" ht="90" x14ac:dyDescent="0.25">
      <c r="A47" s="24" t="str">
        <v>faq</v>
      </c>
      <c r="B47" s="24" t="str">
        <v>https://taxportal.mof.gov.cy/Home/About</v>
      </c>
      <c r="C47" s="24" t="str">
        <v>serious</v>
      </c>
      <c r="D47" s="24" t="str">
        <v>html-has-lang</v>
      </c>
      <c r="E47" s="24" t="str">
        <v>Ensure every HTML document has a lang attribute</v>
      </c>
      <c r="F47" s="24" t="str">
        <v>html</v>
      </c>
      <c r="G47" s="24" t="str">
        <v>2026-01-30T08:26:22.638Z</v>
      </c>
      <c r="H47" s="24" t="str">
        <v>cat.language | wcag2a | wcag311 | TTv5 | TT11.a | EN-301-549 | EN-9.3.1.1 | ACT | RGAAv4 | RGAA-8.3.1</v>
      </c>
    </row>
    <row r="48" spans="1:8" ht="135" x14ac:dyDescent="0.25">
      <c r="A48" s="24" t="str">
        <v>faq</v>
      </c>
      <c r="B48" s="24" t="str">
        <v>https://taxportal.mof.gov.cy/Home/About</v>
      </c>
      <c r="C48" s="24" t="str">
        <v>critical</v>
      </c>
      <c r="D48" s="24" t="str">
        <v>image-alt</v>
      </c>
      <c r="E48" s="24" t="str">
        <v>Ensure &lt;img&gt; elements have alternative text or a role of none or presentation</v>
      </c>
      <c r="F48" s="24" t="str">
        <v>li:nth-child(2) &gt; img</v>
      </c>
      <c r="G48" s="24" t="str">
        <v>2026-01-30T08:26:22.638Z</v>
      </c>
      <c r="H48" s="24" t="str">
        <v>cat.text-alternatives | wcag2a | wcag111 | section508 | section508.22.a | TTv5 | TT7.a | TT7.b | EN-301-549 | EN-9.1.1.1 | ACT | RGAAv4 | RGAA-1.1.1</v>
      </c>
    </row>
    <row r="49" spans="1:8" ht="135" x14ac:dyDescent="0.25">
      <c r="A49" s="24" t="str">
        <v>faq</v>
      </c>
      <c r="B49" s="24" t="str">
        <v>https://taxportal.mof.gov.cy/Home/About</v>
      </c>
      <c r="C49" s="24" t="str">
        <v>critical</v>
      </c>
      <c r="D49" s="24" t="str">
        <v>image-alt</v>
      </c>
      <c r="E49" s="24" t="str">
        <v>Ensure &lt;img&gt; elements have alternative text or a role of none or presentation</v>
      </c>
      <c r="F49" s="24" t="str">
        <v>a[href="/Language/Set?lang=en-gb"] &gt; img</v>
      </c>
      <c r="G49" s="24" t="str">
        <v>2026-01-30T08:26:22.638Z</v>
      </c>
      <c r="H49" s="24" t="str">
        <v>cat.text-alternatives | wcag2a | wcag111 | section508 | section508.22.a | TTv5 | TT7.a | TT7.b | EN-301-549 | EN-9.1.1.1 | ACT | RGAAv4 | RGAA-1.1.1</v>
      </c>
    </row>
    <row r="50" spans="1:8" ht="135" x14ac:dyDescent="0.25">
      <c r="A50" s="24" t="str">
        <v>faq</v>
      </c>
      <c r="B50" s="24" t="str">
        <v>https://taxportal.mof.gov.cy/Home/About</v>
      </c>
      <c r="C50" s="24" t="str">
        <v>critical</v>
      </c>
      <c r="D50" s="24" t="str">
        <v>image-alt</v>
      </c>
      <c r="E50" s="24" t="str">
        <v>Ensure &lt;img&gt; elements have alternative text or a role of none or presentation</v>
      </c>
      <c r="F50" s="24" t="str">
        <v>img[src$="cy_logo_sm.png"]</v>
      </c>
      <c r="G50" s="24" t="str">
        <v>2026-01-30T08:26:22.638Z</v>
      </c>
      <c r="H50" s="24" t="str">
        <v>cat.text-alternatives | wcag2a | wcag111 | section508 | section508.22.a | TTv5 | TT7.a | TT7.b | EN-301-549 | EN-9.1.1.1 | ACT | RGAAv4 | RGAA-1.1.1</v>
      </c>
    </row>
    <row r="51" spans="1:8" ht="30" x14ac:dyDescent="0.25">
      <c r="A51" s="24" t="str">
        <v>faq</v>
      </c>
      <c r="B51" s="24" t="str">
        <v>https://taxportal.mof.gov.cy/Home/About</v>
      </c>
      <c r="C51" s="24" t="str">
        <v>moderate</v>
      </c>
      <c r="D51" s="24" t="str">
        <v>landmark-unique</v>
      </c>
      <c r="E51" s="24" t="str">
        <v>Ensure landmarks are unique</v>
      </c>
      <c r="F51" s="24" t="str">
        <v>.navbar-default</v>
      </c>
      <c r="G51" s="24" t="str">
        <v>2026-01-30T08:26:22.638Z</v>
      </c>
      <c r="H51" s="24" t="str">
        <v>cat.semantics | best-practice</v>
      </c>
    </row>
    <row r="52" spans="1:8" ht="150" x14ac:dyDescent="0.25">
      <c r="A52" s="24" t="str">
        <v>faq</v>
      </c>
      <c r="B52" s="24" t="str">
        <v>https://taxportal.mof.gov.cy/Home/About</v>
      </c>
      <c r="C52" s="24" t="str">
        <v>serious</v>
      </c>
      <c r="D52" s="24" t="str">
        <v>link-name</v>
      </c>
      <c r="E52" s="24" t="str">
        <v>Ensure links have discernible text</v>
      </c>
      <c r="F52" s="24" t="str">
        <v>.navbar-minimalize</v>
      </c>
      <c r="G52" s="24" t="str">
        <v>2026-01-30T08:26:22.638Z</v>
      </c>
      <c r="H52" s="24" t="str">
        <v>cat.name-role-value | wcag2a | wcag244 | wcag412 | section508 | section508.22.a | TTv5 | TT6.a | EN-301-549 | EN-9.2.4.4 | EN-9.4.1.2 | ACT | RGAAv4 | RGAA-6.2.1</v>
      </c>
    </row>
    <row r="53" spans="1:8" ht="150" x14ac:dyDescent="0.25">
      <c r="A53" s="24" t="str">
        <v>faq</v>
      </c>
      <c r="B53" s="24" t="str">
        <v>https://taxportal.mof.gov.cy/Home/About</v>
      </c>
      <c r="C53" s="24" t="str">
        <v>serious</v>
      </c>
      <c r="D53" s="24" t="str">
        <v>link-name</v>
      </c>
      <c r="E53" s="24" t="str">
        <v>Ensure links have discernible text</v>
      </c>
      <c r="F53" s="24" t="str">
        <v>a[href="/Language/Set?lang=en-gb"]</v>
      </c>
      <c r="G53" s="24" t="str">
        <v>2026-01-30T08:26:22.638Z</v>
      </c>
      <c r="H53" s="24" t="str">
        <v>cat.name-role-value | wcag2a | wcag244 | wcag412 | section508 | section508.22.a | TTv5 | TT6.a | EN-301-549 | EN-9.2.4.4 | EN-9.4.1.2 | ACT | RGAAv4 | RGAA-6.2.1</v>
      </c>
    </row>
    <row r="54" spans="1:8" ht="45" x14ac:dyDescent="0.25">
      <c r="A54" s="24" t="str">
        <v>faq</v>
      </c>
      <c r="B54" s="24" t="str">
        <v>https://taxportal.mof.gov.cy/Home/About</v>
      </c>
      <c r="C54" s="24" t="str">
        <v>moderate</v>
      </c>
      <c r="D54" s="24" t="str">
        <v>region</v>
      </c>
      <c r="E54" s="24" t="str">
        <v>Ensure all page content is contained by landmarks</v>
      </c>
      <c r="F54" s="24" t="str">
        <v>h2</v>
      </c>
      <c r="G54" s="24" t="str">
        <v>2026-01-30T08:26:22.638Z</v>
      </c>
      <c r="H54" s="24" t="str">
        <v>cat.keyboard | best-practice | RGAAv4 | RGAA-9.2.1</v>
      </c>
    </row>
    <row r="55" spans="1:8" ht="45" x14ac:dyDescent="0.25">
      <c r="A55" s="24" t="str">
        <v>faq</v>
      </c>
      <c r="B55" s="24" t="str">
        <v>https://taxportal.mof.gov.cy/Home/About</v>
      </c>
      <c r="C55" s="24" t="str">
        <v>moderate</v>
      </c>
      <c r="D55" s="24" t="str">
        <v>region</v>
      </c>
      <c r="E55" s="24" t="str">
        <v>Ensure all page content is contained by landmarks</v>
      </c>
      <c r="F55" s="24" t="str">
        <v>h3:nth-child(8)</v>
      </c>
      <c r="G55" s="24" t="str">
        <v>2026-01-30T08:26:22.638Z</v>
      </c>
      <c r="H55" s="24" t="str">
        <v>cat.keyboard | best-practice | RGAAv4 | RGAA-9.2.1</v>
      </c>
    </row>
    <row r="56" spans="1:8" ht="45" x14ac:dyDescent="0.25">
      <c r="A56" s="24" t="str">
        <v>faq</v>
      </c>
      <c r="B56" s="24" t="str">
        <v>https://taxportal.mof.gov.cy/Home/About</v>
      </c>
      <c r="C56" s="24" t="str">
        <v>moderate</v>
      </c>
      <c r="D56" s="24" t="str">
        <v>region</v>
      </c>
      <c r="E56" s="24" t="str">
        <v>Ensure all page content is contained by landmarks</v>
      </c>
      <c r="F56" s="24" t="str">
        <v>table:nth-child(9)</v>
      </c>
      <c r="G56" s="24" t="str">
        <v>2026-01-30T08:26:22.638Z</v>
      </c>
      <c r="H56" s="24" t="str">
        <v>cat.keyboard | best-practice | RGAAv4 | RGAA-9.2.1</v>
      </c>
    </row>
    <row r="57" spans="1:8" ht="45" x14ac:dyDescent="0.25">
      <c r="A57" s="24" t="str">
        <v>faq</v>
      </c>
      <c r="B57" s="24" t="str">
        <v>https://taxportal.mof.gov.cy/Home/About</v>
      </c>
      <c r="C57" s="24" t="str">
        <v>moderate</v>
      </c>
      <c r="D57" s="24" t="str">
        <v>region</v>
      </c>
      <c r="E57" s="24" t="str">
        <v>Ensure all page content is contained by landmarks</v>
      </c>
      <c r="F57" s="24" t="str">
        <v>h3:nth-child(12)</v>
      </c>
      <c r="G57" s="24" t="str">
        <v>2026-01-30T08:26:22.638Z</v>
      </c>
      <c r="H57" s="24" t="str">
        <v>cat.keyboard | best-practice | RGAAv4 | RGAA-9.2.1</v>
      </c>
    </row>
    <row r="58" spans="1:8" ht="45" x14ac:dyDescent="0.25">
      <c r="A58" s="24" t="str">
        <v>faq</v>
      </c>
      <c r="B58" s="24" t="str">
        <v>https://taxportal.mof.gov.cy/Home/About</v>
      </c>
      <c r="C58" s="24" t="str">
        <v>moderate</v>
      </c>
      <c r="D58" s="24" t="str">
        <v>region</v>
      </c>
      <c r="E58" s="24" t="str">
        <v>Ensure all page content is contained by landmarks</v>
      </c>
      <c r="F58" s="24" t="str">
        <v>table:nth-child(13)</v>
      </c>
      <c r="G58" s="24" t="str">
        <v>2026-01-30T08:26:22.638Z</v>
      </c>
      <c r="H58" s="24" t="str">
        <v>cat.keyboard | best-practice | RGAAv4 | RGAA-9.2.1</v>
      </c>
    </row>
    <row r="59" spans="1:8" ht="45" x14ac:dyDescent="0.25">
      <c r="A59" s="24" t="str">
        <v>faq</v>
      </c>
      <c r="B59" s="24" t="str">
        <v>https://taxportal.mof.gov.cy/Home/About</v>
      </c>
      <c r="C59" s="24" t="str">
        <v>moderate</v>
      </c>
      <c r="D59" s="24" t="str">
        <v>region</v>
      </c>
      <c r="E59" s="24" t="str">
        <v>Ensure all page content is contained by landmarks</v>
      </c>
      <c r="F59" s="24" t="str">
        <v>.footer</v>
      </c>
      <c r="G59" s="24" t="str">
        <v>2026-01-30T08:26:22.638Z</v>
      </c>
      <c r="H59" s="24" t="str">
        <v>cat.keyboard | best-practice | RGAAv4 | RGAA-9.2.1</v>
      </c>
    </row>
  </sheetData>
  <sheetProtection sheet="1" objects="1" scenarios="1" pivotTables="0"/>
  <pageMargins left="0.23622047244094491" right="0.23622047244094491" top="0.35433070866141736" bottom="0.35433070866141736" header="0.31496062992125984" footer="0.31496062992125984"/>
  <pageSetup paperSize="9" scale="62" orientation="landscape" r:id="rId1"/>
  <headerFooter>
    <oddFoote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FCA3-24CF-47F7-92B3-A952B6349953}">
  <sheetPr codeName="Sheet1"/>
  <dimension ref="B2:O73"/>
  <sheetViews>
    <sheetView topLeftCell="A15" workbookViewId="0">
      <selection activeCell="C31" sqref="C31"/>
    </sheetView>
  </sheetViews>
  <sheetFormatPr defaultRowHeight="15" x14ac:dyDescent="0.25"/>
  <cols>
    <col min="1" max="1" width="5.140625" bestFit="1" customWidth="1"/>
    <col min="2" max="2" width="36.42578125" bestFit="1" customWidth="1"/>
    <col min="3" max="3" width="16.7109375" bestFit="1" customWidth="1"/>
    <col min="4" max="4" width="11.140625" bestFit="1" customWidth="1"/>
    <col min="5" max="5" width="5.140625" bestFit="1" customWidth="1"/>
    <col min="6" max="6" width="22.7109375" bestFit="1" customWidth="1"/>
    <col min="7" max="7" width="34.140625" bestFit="1" customWidth="1"/>
    <col min="8" max="8" width="11" bestFit="1" customWidth="1"/>
    <col min="9" max="9" width="11" customWidth="1"/>
    <col min="10" max="10" width="11.140625" bestFit="1" customWidth="1"/>
    <col min="11" max="11" width="5.140625" bestFit="1" customWidth="1"/>
    <col min="12" max="12" width="19.5703125" bestFit="1" customWidth="1"/>
    <col min="13" max="13" width="10" bestFit="1" customWidth="1"/>
    <col min="14" max="14" width="5.140625" bestFit="1" customWidth="1"/>
    <col min="15" max="15" width="10.28515625" bestFit="1" customWidth="1"/>
    <col min="16" max="16" width="11.28515625" bestFit="1" customWidth="1"/>
  </cols>
  <sheetData>
    <row r="2" spans="2:15" ht="18.75" x14ac:dyDescent="0.3">
      <c r="B2" s="12" t="s">
        <v>238</v>
      </c>
    </row>
    <row r="4" spans="2:15" x14ac:dyDescent="0.25">
      <c r="B4" s="11" t="s">
        <v>239</v>
      </c>
      <c r="F4" s="11" t="s">
        <v>245</v>
      </c>
      <c r="L4" s="11" t="s">
        <v>439</v>
      </c>
      <c r="O4" s="11"/>
    </row>
    <row r="5" spans="2:15" x14ac:dyDescent="0.25">
      <c r="B5" s="11" t="s">
        <v>236</v>
      </c>
      <c r="C5" s="11" t="s">
        <v>240</v>
      </c>
      <c r="D5" s="13" t="s">
        <v>241</v>
      </c>
      <c r="F5" s="11" t="s">
        <v>246</v>
      </c>
      <c r="G5" s="11" t="s">
        <v>29</v>
      </c>
      <c r="H5" s="11" t="s">
        <v>240</v>
      </c>
      <c r="I5" s="11" t="s">
        <v>240</v>
      </c>
      <c r="J5" s="11" t="s">
        <v>241</v>
      </c>
      <c r="L5" s="11" t="s">
        <v>29</v>
      </c>
      <c r="M5" s="11" t="s">
        <v>240</v>
      </c>
    </row>
    <row r="6" spans="2:15" x14ac:dyDescent="0.25">
      <c r="B6" t="s">
        <v>221</v>
      </c>
      <c r="C6">
        <f>SUMIF(compliance[Principle],B6,compliance[violations])</f>
        <v>25</v>
      </c>
      <c r="D6" s="14">
        <f>_xlfn.PERCENTOF(C6,$C$6:$C$9)</f>
        <v>0.55555555555555558</v>
      </c>
      <c r="F6" s="11" t="s">
        <v>247</v>
      </c>
      <c r="G6" t="s">
        <v>257</v>
      </c>
      <c r="H6">
        <f>SUMIF(compliance[Guideline],G6,compliance[violations])</f>
        <v>9</v>
      </c>
      <c r="I6">
        <f>IF(H6&gt;0,H6,NA())</f>
        <v>9</v>
      </c>
      <c r="J6" s="14">
        <f t="shared" ref="J6:J18" si="0">_xlfn.PERCENTOF(H6,$H$6:$H$18)</f>
        <v>0.2</v>
      </c>
      <c r="L6" t="str" cm="1">
        <f t="array" ref="L6:M8">_xlfn.TAKE(
  _xlfn._xlws.SORT(
    _xlfn._xlws.FILTER(G6:H18, NOT(ISNA(I6:I18))),
    2, -1
  ),
  3
)</f>
        <v>1.4 - Distinguishable</v>
      </c>
      <c r="M6">
        <v>16</v>
      </c>
    </row>
    <row r="7" spans="2:15" x14ac:dyDescent="0.25">
      <c r="B7" t="s">
        <v>242</v>
      </c>
      <c r="C7">
        <f>SUMIF(compliance[Principle],B7,compliance[violations])</f>
        <v>7</v>
      </c>
      <c r="D7" s="14">
        <f>_xlfn.PERCENTOF(C7,$C$6:$C$9)</f>
        <v>0.15555555555555556</v>
      </c>
      <c r="F7" s="11" t="s">
        <v>248</v>
      </c>
      <c r="G7" t="s">
        <v>258</v>
      </c>
      <c r="H7">
        <f>SUMIF(compliance[Guideline],G7,compliance[violations])</f>
        <v>0</v>
      </c>
      <c r="I7" t="e">
        <f t="shared" ref="I7:I19" si="1">IF(H7&gt;0,H7,NA())</f>
        <v>#N/A</v>
      </c>
      <c r="J7" s="14">
        <f t="shared" si="0"/>
        <v>0</v>
      </c>
      <c r="L7" t="str">
        <v>4.1 - Compatible</v>
      </c>
      <c r="M7">
        <v>10</v>
      </c>
    </row>
    <row r="8" spans="2:15" x14ac:dyDescent="0.25">
      <c r="B8" t="s">
        <v>225</v>
      </c>
      <c r="C8">
        <f>SUMIF(compliance[Principle],B8,compliance[violations])</f>
        <v>3</v>
      </c>
      <c r="D8" s="14">
        <f>_xlfn.PERCENTOF(C8,$C$6:$C$9)</f>
        <v>6.6666666666666666E-2</v>
      </c>
      <c r="F8" s="11" t="s">
        <v>249</v>
      </c>
      <c r="G8" t="s">
        <v>259</v>
      </c>
      <c r="H8">
        <f>SUMIF(compliance[Guideline],G8,compliance[violations])</f>
        <v>0</v>
      </c>
      <c r="I8" t="e">
        <f t="shared" si="1"/>
        <v>#N/A</v>
      </c>
      <c r="J8" s="14">
        <f t="shared" si="0"/>
        <v>0</v>
      </c>
      <c r="L8" t="str">
        <v>1.1 - Text Alternatives</v>
      </c>
      <c r="M8">
        <v>9</v>
      </c>
    </row>
    <row r="9" spans="2:15" x14ac:dyDescent="0.25">
      <c r="B9" t="s">
        <v>223</v>
      </c>
      <c r="C9">
        <f>SUMIF(compliance[Principle],B9,compliance[violations])</f>
        <v>10</v>
      </c>
      <c r="D9" s="14">
        <f>_xlfn.PERCENTOF(C9,$C$6:$C$9)</f>
        <v>0.22222222222222221</v>
      </c>
      <c r="F9" s="11" t="s">
        <v>220</v>
      </c>
      <c r="G9" t="s">
        <v>260</v>
      </c>
      <c r="H9">
        <f>SUMIF(compliance[Guideline],G9,compliance[violations])</f>
        <v>16</v>
      </c>
      <c r="I9">
        <f t="shared" si="1"/>
        <v>16</v>
      </c>
      <c r="J9" s="14">
        <f t="shared" si="0"/>
        <v>0.35555555555555557</v>
      </c>
    </row>
    <row r="10" spans="2:15" x14ac:dyDescent="0.25">
      <c r="C10">
        <f>SUM(C6:C9)</f>
        <v>45</v>
      </c>
      <c r="D10" s="14">
        <f>SUM(D6:D9)</f>
        <v>1</v>
      </c>
      <c r="F10" s="11" t="s">
        <v>250</v>
      </c>
      <c r="G10" t="s">
        <v>261</v>
      </c>
      <c r="H10">
        <f>SUMIF(compliance[Guideline],G10,compliance[violations])</f>
        <v>0</v>
      </c>
      <c r="I10" t="e">
        <f t="shared" si="1"/>
        <v>#N/A</v>
      </c>
      <c r="J10" s="14">
        <f t="shared" si="0"/>
        <v>0</v>
      </c>
    </row>
    <row r="11" spans="2:15" x14ac:dyDescent="0.25">
      <c r="F11" s="11" t="s">
        <v>251</v>
      </c>
      <c r="G11" t="s">
        <v>262</v>
      </c>
      <c r="H11">
        <f>SUMIF(compliance[Guideline],G11,compliance[violations])</f>
        <v>0</v>
      </c>
      <c r="I11" t="e">
        <f t="shared" si="1"/>
        <v>#N/A</v>
      </c>
      <c r="J11" s="14">
        <f t="shared" si="0"/>
        <v>0</v>
      </c>
    </row>
    <row r="12" spans="2:15" x14ac:dyDescent="0.25">
      <c r="F12" s="11" t="s">
        <v>252</v>
      </c>
      <c r="G12" t="s">
        <v>263</v>
      </c>
      <c r="H12">
        <f>SUMIF(compliance[Guideline],G12,compliance[violations])</f>
        <v>0</v>
      </c>
      <c r="I12" t="e">
        <f t="shared" si="1"/>
        <v>#N/A</v>
      </c>
      <c r="J12" s="14">
        <f t="shared" si="0"/>
        <v>0</v>
      </c>
    </row>
    <row r="13" spans="2:15" x14ac:dyDescent="0.25">
      <c r="B13" s="11" t="s">
        <v>243</v>
      </c>
      <c r="F13" s="11" t="s">
        <v>253</v>
      </c>
      <c r="G13" t="s">
        <v>264</v>
      </c>
      <c r="H13">
        <f>SUMIF(compliance[Guideline],G13,compliance[violations])</f>
        <v>7</v>
      </c>
      <c r="I13">
        <f t="shared" si="1"/>
        <v>7</v>
      </c>
      <c r="J13" s="14">
        <f t="shared" si="0"/>
        <v>0.15555555555555556</v>
      </c>
    </row>
    <row r="14" spans="2:15" x14ac:dyDescent="0.25">
      <c r="B14" s="11" t="s">
        <v>237</v>
      </c>
      <c r="C14" s="11" t="s">
        <v>240</v>
      </c>
      <c r="D14" s="11" t="s">
        <v>241</v>
      </c>
      <c r="F14" s="11" t="s">
        <v>254</v>
      </c>
      <c r="G14" t="s">
        <v>265</v>
      </c>
      <c r="H14">
        <f>SUMIF(compliance[Guideline],G14,compliance[violations])</f>
        <v>0</v>
      </c>
      <c r="I14" t="e">
        <f t="shared" si="1"/>
        <v>#N/A</v>
      </c>
      <c r="J14" s="14">
        <f t="shared" si="0"/>
        <v>0</v>
      </c>
    </row>
    <row r="15" spans="2:15" x14ac:dyDescent="0.25">
      <c r="B15" t="s">
        <v>32</v>
      </c>
      <c r="C15">
        <f>SUMIF(compliance[Level],B15,compliance[violations])</f>
        <v>29</v>
      </c>
      <c r="D15" s="14">
        <f>_xlfn.PERCENTOF(C15,$C$15:$C$17)</f>
        <v>0.64444444444444449</v>
      </c>
      <c r="F15" s="11" t="s">
        <v>224</v>
      </c>
      <c r="G15" t="s">
        <v>266</v>
      </c>
      <c r="H15">
        <f>SUMIF(compliance[Guideline],G15,compliance[violations])</f>
        <v>3</v>
      </c>
      <c r="I15">
        <f t="shared" si="1"/>
        <v>3</v>
      </c>
      <c r="J15" s="14">
        <f t="shared" si="0"/>
        <v>6.6666666666666666E-2</v>
      </c>
    </row>
    <row r="16" spans="2:15" x14ac:dyDescent="0.25">
      <c r="B16" t="s">
        <v>51</v>
      </c>
      <c r="C16">
        <f>SUMIF(compliance[Level],B16,compliance[violations])</f>
        <v>16</v>
      </c>
      <c r="D16" s="14">
        <f>_xlfn.PERCENTOF(C16,$C$15:$C$17)</f>
        <v>0.35555555555555557</v>
      </c>
      <c r="F16" s="11" t="s">
        <v>255</v>
      </c>
      <c r="G16" t="s">
        <v>267</v>
      </c>
      <c r="H16">
        <f>SUMIF(compliance[Guideline],G16,compliance[violations])</f>
        <v>0</v>
      </c>
      <c r="I16" t="e">
        <f t="shared" si="1"/>
        <v>#N/A</v>
      </c>
      <c r="J16" s="14">
        <f t="shared" si="0"/>
        <v>0</v>
      </c>
    </row>
    <row r="17" spans="2:13" x14ac:dyDescent="0.25">
      <c r="B17" t="s">
        <v>244</v>
      </c>
      <c r="C17">
        <f>SUMIF(compliance[Level],B17,compliance[violations])</f>
        <v>0</v>
      </c>
      <c r="D17" s="14">
        <f>_xlfn.PERCENTOF(C17,$C$15:$C$17)</f>
        <v>0</v>
      </c>
      <c r="F17" s="11" t="s">
        <v>256</v>
      </c>
      <c r="G17" t="s">
        <v>268</v>
      </c>
      <c r="H17">
        <f>SUMIF(compliance[Guideline],G17,compliance[violations])</f>
        <v>0</v>
      </c>
      <c r="I17" t="e">
        <f t="shared" si="1"/>
        <v>#N/A</v>
      </c>
      <c r="J17" s="14">
        <f t="shared" si="0"/>
        <v>0</v>
      </c>
    </row>
    <row r="18" spans="2:13" x14ac:dyDescent="0.25">
      <c r="C18">
        <f>SUM(C15:C17)</f>
        <v>45</v>
      </c>
      <c r="D18" s="14">
        <f>SUM(D15:D17)</f>
        <v>1</v>
      </c>
      <c r="F18" s="11" t="s">
        <v>222</v>
      </c>
      <c r="G18" t="s">
        <v>269</v>
      </c>
      <c r="H18">
        <f>SUMIF(compliance[Guideline],G18,compliance[violations])</f>
        <v>10</v>
      </c>
      <c r="I18">
        <f t="shared" si="1"/>
        <v>10</v>
      </c>
      <c r="J18" s="14">
        <f t="shared" si="0"/>
        <v>0.22222222222222221</v>
      </c>
    </row>
    <row r="19" spans="2:13" x14ac:dyDescent="0.25">
      <c r="H19">
        <f>SUM(H6:H18)</f>
        <v>45</v>
      </c>
      <c r="I19">
        <f t="shared" si="1"/>
        <v>45</v>
      </c>
      <c r="J19" s="14">
        <f>SUM(J6:J18)</f>
        <v>1</v>
      </c>
    </row>
    <row r="20" spans="2:13" ht="18.75" x14ac:dyDescent="0.3">
      <c r="B20" s="12" t="s">
        <v>270</v>
      </c>
    </row>
    <row r="21" spans="2:13" x14ac:dyDescent="0.25">
      <c r="B21" s="15" t="s">
        <v>271</v>
      </c>
      <c r="C21" s="10" t="str">
        <f>IF(COUNTA(compliance[criterionId])=0,"⚠ No data loaded","✓ Data loaded")</f>
        <v>✓ Data loaded</v>
      </c>
      <c r="F21" s="11" t="s">
        <v>437</v>
      </c>
      <c r="L21" s="11" t="s">
        <v>435</v>
      </c>
    </row>
    <row r="22" spans="2:13" x14ac:dyDescent="0.25">
      <c r="B22" s="11" t="s">
        <v>272</v>
      </c>
      <c r="C22" cm="1">
        <f t="array" ref="C22">SUM(--(LEN(_xlfn.UNIQUE(compliance[criterionId])) &gt; 0))</f>
        <v>5</v>
      </c>
      <c r="F22" s="11" t="s">
        <v>438</v>
      </c>
      <c r="G22" s="11" t="s">
        <v>418</v>
      </c>
      <c r="H22" s="11" t="s">
        <v>240</v>
      </c>
      <c r="I22" s="11" t="s">
        <v>240</v>
      </c>
      <c r="J22" s="11" t="s">
        <v>241</v>
      </c>
      <c r="L22" s="11" t="s">
        <v>418</v>
      </c>
      <c r="M22" s="11" t="s">
        <v>240</v>
      </c>
    </row>
    <row r="23" spans="2:13" x14ac:dyDescent="0.25">
      <c r="B23" s="11" t="s">
        <v>273</v>
      </c>
      <c r="C23" cm="1">
        <f t="array" ref="C23">SUM(--(LEN(_xlfn.UNIQUE(compliance[Guideline])) &gt; 0))</f>
        <v>5</v>
      </c>
      <c r="F23" s="11" t="s">
        <v>18</v>
      </c>
      <c r="G23" t="str">
        <f>F23 &amp; " - "  &amp; INDEX(Standard[Περιγραφή Ρήτρας],MATCH(F23,Standard[Κριτήριο WCAG],0)) &amp; " - "  &amp; INDEX(Standard[Ρήτρα Ευρωπαϊκού Πρότυπου],MATCH(F23,Standard[Κριτήριο WCAG],0))</f>
        <v>1.1.1 - Non-text content - 9.1.1.1</v>
      </c>
      <c r="H23">
        <f>SUMIF(compliance[criterionId],F23,compliance[violations])</f>
        <v>9</v>
      </c>
      <c r="I23">
        <f>IF(H23&gt;0,H23,NA())</f>
        <v>9</v>
      </c>
      <c r="J23" s="14">
        <f>_xlfn.PERCENTOF(H23,$H$23:$H$72)</f>
        <v>0.2</v>
      </c>
      <c r="L23" t="str" cm="1">
        <f t="array" ref="L23:M25">_xlfn.TAKE(
  _xlfn._xlws.SORT(
    _xlfn._xlws.FILTER(G23:H72, NOT(ISNA(I23:I72))),
    2, -1
  ),
  3
)</f>
        <v>1.4.3 - Contrast (minimum) - 9.1.4.3</v>
      </c>
      <c r="M23">
        <v>16</v>
      </c>
    </row>
    <row r="24" spans="2:13" x14ac:dyDescent="0.25">
      <c r="B24" s="11" t="s">
        <v>274</v>
      </c>
      <c r="C24" cm="1">
        <f t="array" ref="C24">SUM(--(LEN(_xlfn.UNIQUE(compliance[Principle])) &gt; 0))</f>
        <v>4</v>
      </c>
      <c r="F24" s="11" t="s">
        <v>37</v>
      </c>
      <c r="G24" t="str">
        <f>F24 &amp; " - "  &amp; INDEX(Standard[Περιγραφή Ρήτρας],MATCH(F24,Standard[Κριτήριο WCAG],0)) &amp; " - "  &amp; INDEX(Standard[Ρήτρα Ευρωπαϊκού Πρότυπου],MATCH(F24,Standard[Κριτήριο WCAG],0))</f>
        <v>1.2.1 - Audio-only and video-only (pre-recorded) - 9.1.2.1</v>
      </c>
      <c r="H24">
        <f>SUMIF(compliance[criterionId],F24,compliance[violations])</f>
        <v>0</v>
      </c>
      <c r="I24" t="e">
        <f t="shared" ref="I24:I73" si="2">IF(H24&gt;0,H24,NA())</f>
        <v>#N/A</v>
      </c>
      <c r="J24" s="14">
        <f t="shared" ref="J24:J72" si="3">_xlfn.PERCENTOF(H24,$H$23:$H$72)</f>
        <v>0</v>
      </c>
      <c r="L24" t="str">
        <v>4.1.2 - Name, role, value - 9.4.1.2</v>
      </c>
      <c r="M24">
        <v>10</v>
      </c>
    </row>
    <row r="25" spans="2:13" x14ac:dyDescent="0.25">
      <c r="B25" s="11" t="s">
        <v>276</v>
      </c>
      <c r="C25" cm="1">
        <f t="array" ref="C25">SUM(--(LEN(_xlfn.UNIQUE(compliance[pageId])) &gt; 0))</f>
        <v>3</v>
      </c>
      <c r="F25" s="11" t="s">
        <v>41</v>
      </c>
      <c r="G25" t="str">
        <f>F25 &amp; " - "  &amp; INDEX(Standard[Περιγραφή Ρήτρας],MATCH(F25,Standard[Κριτήριο WCAG],0)) &amp; " - "  &amp; INDEX(Standard[Ρήτρα Ευρωπαϊκού Πρότυπου],MATCH(F25,Standard[Κριτήριο WCAG],0))</f>
        <v>1.2.2 - Captions (pre-recorded) - 9.1.2.2</v>
      </c>
      <c r="H25">
        <f>SUMIF(compliance[criterionId],F25,compliance[violations])</f>
        <v>0</v>
      </c>
      <c r="I25" t="e">
        <f t="shared" si="2"/>
        <v>#N/A</v>
      </c>
      <c r="J25" s="14">
        <f t="shared" si="3"/>
        <v>0</v>
      </c>
      <c r="L25" t="str">
        <v>1.1.1 - Non-text content - 9.1.1.1</v>
      </c>
      <c r="M25">
        <v>9</v>
      </c>
    </row>
    <row r="26" spans="2:13" x14ac:dyDescent="0.25">
      <c r="B26" s="11" t="s">
        <v>275</v>
      </c>
      <c r="C26">
        <f>SUM(compliance[violations])</f>
        <v>45</v>
      </c>
      <c r="F26" s="11" t="s">
        <v>45</v>
      </c>
      <c r="G26" t="str">
        <f>F26 &amp; " - "  &amp; INDEX(Standard[Περιγραφή Ρήτρας],MATCH(F26,Standard[Κριτήριο WCAG],0)) &amp; " - "  &amp; INDEX(Standard[Ρήτρα Ευρωπαϊκού Πρότυπου],MATCH(F26,Standard[Κριτήριο WCAG],0))</f>
        <v>1.2.3 - Audio description or media alternative (pre-recorded) - 9.1.2.3</v>
      </c>
      <c r="H26">
        <f>SUMIF(compliance[criterionId],F26,compliance[violations])</f>
        <v>0</v>
      </c>
      <c r="I26" t="e">
        <f t="shared" si="2"/>
        <v>#N/A</v>
      </c>
      <c r="J26" s="14">
        <f t="shared" si="3"/>
        <v>0</v>
      </c>
    </row>
    <row r="27" spans="2:13" x14ac:dyDescent="0.25">
      <c r="F27" s="11" t="s">
        <v>49</v>
      </c>
      <c r="G27" t="str">
        <f>F27 &amp; " - "  &amp; INDEX(Standard[Περιγραφή Ρήτρας],MATCH(F27,Standard[Κριτήριο WCAG],0)) &amp; " - "  &amp; INDEX(Standard[Ρήτρα Ευρωπαϊκού Πρότυπου],MATCH(F27,Standard[Κριτήριο WCAG],0))</f>
        <v>1.2.4 - Captions (Live) - 9.1.2.4</v>
      </c>
      <c r="H27">
        <f>SUMIF(compliance[criterionId],F27,compliance[violations])</f>
        <v>0</v>
      </c>
      <c r="I27" t="e">
        <f t="shared" si="2"/>
        <v>#N/A</v>
      </c>
      <c r="J27" s="14">
        <f t="shared" si="3"/>
        <v>0</v>
      </c>
    </row>
    <row r="28" spans="2:13" x14ac:dyDescent="0.25">
      <c r="B28" s="11" t="s">
        <v>425</v>
      </c>
      <c r="C28">
        <f>SUM(non_compliance[occurrences])</f>
        <v>20</v>
      </c>
      <c r="F28" s="11" t="s">
        <v>52</v>
      </c>
      <c r="G28" t="str">
        <f>F28 &amp; " - "  &amp; INDEX(Standard[Περιγραφή Ρήτρας],MATCH(F28,Standard[Κριτήριο WCAG],0)) &amp; " - "  &amp; INDEX(Standard[Ρήτρα Ευρωπαϊκού Πρότυπου],MATCH(F28,Standard[Κριτήριο WCAG],0))</f>
        <v>1.2.5 - Audio description or media alternative (pre-recorded) - 9.1.2.5</v>
      </c>
      <c r="H28">
        <f>SUMIF(compliance[criterionId],F28,compliance[violations])</f>
        <v>0</v>
      </c>
      <c r="I28" t="e">
        <f t="shared" si="2"/>
        <v>#N/A</v>
      </c>
      <c r="J28" s="14">
        <f t="shared" si="3"/>
        <v>0</v>
      </c>
    </row>
    <row r="29" spans="2:13" x14ac:dyDescent="0.25">
      <c r="B29" s="11" t="s">
        <v>424</v>
      </c>
      <c r="C29" cm="1">
        <f t="array" ref="C29">SUM(--(LEN(_xlfn.UNIQUE(non_compliance[ruleId])) &gt; 0))</f>
        <v>4</v>
      </c>
      <c r="F29" s="11" t="s">
        <v>56</v>
      </c>
      <c r="G29" t="str">
        <f>F29 &amp; " - "  &amp; INDEX(Standard[Περιγραφή Ρήτρας],MATCH(F29,Standard[Κριτήριο WCAG],0)) &amp; " - "  &amp; INDEX(Standard[Ρήτρα Ευρωπαϊκού Πρότυπου],MATCH(F29,Standard[Κριτήριο WCAG],0))</f>
        <v>1.3.1 - Info and relationships - 9.1.3.1</v>
      </c>
      <c r="H29">
        <f>SUMIF(compliance[criterionId],F29,compliance[violations])</f>
        <v>0</v>
      </c>
      <c r="I29" t="e">
        <f t="shared" si="2"/>
        <v>#N/A</v>
      </c>
      <c r="J29" s="14">
        <f t="shared" si="3"/>
        <v>0</v>
      </c>
    </row>
    <row r="30" spans="2:13" x14ac:dyDescent="0.25">
      <c r="B30" s="11" t="s">
        <v>427</v>
      </c>
      <c r="C30" cm="1">
        <f t="array" ref="C30">SUM(--(LEN(_xlfn.UNIQUE(compliance[pageId])) &gt; 0))</f>
        <v>3</v>
      </c>
      <c r="F30" s="11" t="s">
        <v>60</v>
      </c>
      <c r="G30" t="str">
        <f>F30 &amp; " - "  &amp; INDEX(Standard[Περιγραφή Ρήτρας],MATCH(F30,Standard[Κριτήριο WCAG],0)) &amp; " - "  &amp; INDEX(Standard[Ρήτρα Ευρωπαϊκού Πρότυπου],MATCH(F30,Standard[Κριτήριο WCAG],0))</f>
        <v>1.3.2 - Meaningful sequence - 9.1.3.2</v>
      </c>
      <c r="H30">
        <f>SUMIF(compliance[criterionId],F30,compliance[violations])</f>
        <v>0</v>
      </c>
      <c r="I30" t="e">
        <f t="shared" si="2"/>
        <v>#N/A</v>
      </c>
      <c r="J30" s="14">
        <f t="shared" si="3"/>
        <v>0</v>
      </c>
    </row>
    <row r="31" spans="2:13" x14ac:dyDescent="0.25">
      <c r="B31" s="11"/>
      <c r="F31" s="11" t="s">
        <v>63</v>
      </c>
      <c r="G31" t="str">
        <f>F31 &amp; " - "  &amp; INDEX(Standard[Περιγραφή Ρήτρας],MATCH(F31,Standard[Κριτήριο WCAG],0)) &amp; " - "  &amp; INDEX(Standard[Ρήτρα Ευρωπαϊκού Πρότυπου],MATCH(F31,Standard[Κριτήριο WCAG],0))</f>
        <v>1.3.3 - Sensory characteristics - 9.1.3.3</v>
      </c>
      <c r="H31">
        <f>SUMIF(compliance[criterionId],F31,compliance[violations])</f>
        <v>0</v>
      </c>
      <c r="I31" t="e">
        <f t="shared" si="2"/>
        <v>#N/A</v>
      </c>
      <c r="J31" s="14">
        <f t="shared" si="3"/>
        <v>0</v>
      </c>
    </row>
    <row r="32" spans="2:13" x14ac:dyDescent="0.25">
      <c r="F32" s="11" t="s">
        <v>67</v>
      </c>
      <c r="G32" t="str">
        <f>F32 &amp; " - "  &amp; INDEX(Standard[Περιγραφή Ρήτρας],MATCH(F32,Standard[Κριτήριο WCAG],0)) &amp; " - "  &amp; INDEX(Standard[Ρήτρα Ευρωπαϊκού Πρότυπου],MATCH(F32,Standard[Κριτήριο WCAG],0))</f>
        <v>1.3.4 - Orientation - 9.1.3.4</v>
      </c>
      <c r="H32">
        <f>SUMIF(compliance[criterionId],F32,compliance[violations])</f>
        <v>0</v>
      </c>
      <c r="I32" t="e">
        <f t="shared" si="2"/>
        <v>#N/A</v>
      </c>
      <c r="J32" s="14">
        <f t="shared" si="3"/>
        <v>0</v>
      </c>
    </row>
    <row r="33" spans="2:10" x14ac:dyDescent="0.25">
      <c r="B33" s="11" t="s">
        <v>426</v>
      </c>
      <c r="C33">
        <f>C26+C28</f>
        <v>65</v>
      </c>
      <c r="F33" s="11" t="s">
        <v>71</v>
      </c>
      <c r="G33" t="str">
        <f>F33 &amp; " - "  &amp; INDEX(Standard[Περιγραφή Ρήτρας],MATCH(F33,Standard[Κριτήριο WCAG],0)) &amp; " - "  &amp; INDEX(Standard[Ρήτρα Ευρωπαϊκού Πρότυπου],MATCH(F33,Standard[Κριτήριο WCAG],0))</f>
        <v>1.3.5 - Identify input purpose - 9.1.3.5</v>
      </c>
      <c r="H33">
        <f>SUMIF(compliance[criterionId],F33,compliance[violations])</f>
        <v>0</v>
      </c>
      <c r="I33" t="e">
        <f t="shared" si="2"/>
        <v>#N/A</v>
      </c>
      <c r="J33" s="14">
        <f t="shared" si="3"/>
        <v>0</v>
      </c>
    </row>
    <row r="34" spans="2:10" x14ac:dyDescent="0.25">
      <c r="F34" s="11" t="s">
        <v>75</v>
      </c>
      <c r="G34" t="str">
        <f>F34 &amp; " - "  &amp; INDEX(Standard[Περιγραφή Ρήτρας],MATCH(F34,Standard[Κριτήριο WCAG],0)) &amp; " - "  &amp; INDEX(Standard[Ρήτρα Ευρωπαϊκού Πρότυπου],MATCH(F34,Standard[Κριτήριο WCAG],0))</f>
        <v>1.4.1 - Use of colour - 9.1.4.1</v>
      </c>
      <c r="H34">
        <f>SUMIF(compliance[criterionId],F34,compliance[violations])</f>
        <v>0</v>
      </c>
      <c r="I34" t="e">
        <f t="shared" si="2"/>
        <v>#N/A</v>
      </c>
      <c r="J34" s="14">
        <f t="shared" si="3"/>
        <v>0</v>
      </c>
    </row>
    <row r="35" spans="2:10" x14ac:dyDescent="0.25">
      <c r="B35" s="11" t="s">
        <v>446</v>
      </c>
      <c r="F35" s="11" t="s">
        <v>80</v>
      </c>
      <c r="G35" t="str">
        <f>F35 &amp; " - "  &amp; INDEX(Standard[Περιγραφή Ρήτρας],MATCH(F35,Standard[Κριτήριο WCAG],0)) &amp; " - "  &amp; INDEX(Standard[Ρήτρα Ευρωπαϊκού Πρότυπου],MATCH(F35,Standard[Κριτήριο WCAG],0))</f>
        <v>1.4.2 - Audio control - 9.1.4.2</v>
      </c>
      <c r="H35">
        <f>SUMIF(compliance[criterionId],F35,compliance[violations])</f>
        <v>0</v>
      </c>
      <c r="I35" t="e">
        <f t="shared" si="2"/>
        <v>#N/A</v>
      </c>
      <c r="J35" s="14">
        <f t="shared" si="3"/>
        <v>0</v>
      </c>
    </row>
    <row r="36" spans="2:10" x14ac:dyDescent="0.25">
      <c r="B36" s="11" t="s">
        <v>447</v>
      </c>
      <c r="C36" s="11" t="s">
        <v>240</v>
      </c>
      <c r="F36" s="11" t="s">
        <v>13</v>
      </c>
      <c r="G36" t="str">
        <f>F36 &amp; " - "  &amp; INDEX(Standard[Περιγραφή Ρήτρας],MATCH(F36,Standard[Κριτήριο WCAG],0)) &amp; " - "  &amp; INDEX(Standard[Ρήτρα Ευρωπαϊκού Πρότυπου],MATCH(F36,Standard[Κριτήριο WCAG],0))</f>
        <v>1.4.3 - Contrast (minimum) - 9.1.4.3</v>
      </c>
      <c r="H36">
        <f>SUMIF(compliance[criterionId],F36,compliance[violations])</f>
        <v>16</v>
      </c>
      <c r="I36">
        <f t="shared" si="2"/>
        <v>16</v>
      </c>
      <c r="J36" s="14">
        <f t="shared" si="3"/>
        <v>0.35555555555555557</v>
      </c>
    </row>
    <row r="37" spans="2:10" x14ac:dyDescent="0.25">
      <c r="B37" t="s">
        <v>9</v>
      </c>
      <c r="C37">
        <f>SUMIF(non_compliance[severity],B37,non_compliance[occurrences])</f>
        <v>0</v>
      </c>
      <c r="F37" s="11" t="s">
        <v>87</v>
      </c>
      <c r="G37" t="str">
        <f>F37 &amp; " - "  &amp; INDEX(Standard[Περιγραφή Ρήτρας],MATCH(F37,Standard[Κριτήριο WCAG],0)) &amp; " - "  &amp; INDEX(Standard[Ρήτρα Ευρωπαϊκού Πρότυπου],MATCH(F37,Standard[Κριτήριο WCAG],0))</f>
        <v>1.4.4 - Resize text - 9.1.4.4</v>
      </c>
      <c r="H37">
        <f>SUMIF(compliance[criterionId],F37,compliance[violations])</f>
        <v>0</v>
      </c>
      <c r="I37" t="e">
        <f t="shared" si="2"/>
        <v>#N/A</v>
      </c>
      <c r="J37" s="14">
        <f t="shared" si="3"/>
        <v>0</v>
      </c>
    </row>
    <row r="38" spans="2:10" x14ac:dyDescent="0.25">
      <c r="B38" t="s">
        <v>12</v>
      </c>
      <c r="C38">
        <f>SUMIF(non_compliance[severity],B38,non_compliance[occurrences])</f>
        <v>3</v>
      </c>
      <c r="F38" s="11" t="s">
        <v>90</v>
      </c>
      <c r="G38" t="str">
        <f>F38 &amp; " - "  &amp; INDEX(Standard[Περιγραφή Ρήτρας],MATCH(F38,Standard[Κριτήριο WCAG],0)) &amp; " - "  &amp; INDEX(Standard[Ρήτρα Ευρωπαϊκού Πρότυπου],MATCH(F38,Standard[Κριτήριο WCAG],0))</f>
        <v>1.4.5 - Images of text - 9.1.4.5</v>
      </c>
      <c r="H38">
        <f>SUMIF(compliance[criterionId],F38,compliance[violations])</f>
        <v>0</v>
      </c>
      <c r="I38" t="e">
        <f t="shared" si="2"/>
        <v>#N/A</v>
      </c>
      <c r="J38" s="14">
        <f t="shared" si="3"/>
        <v>0</v>
      </c>
    </row>
    <row r="39" spans="2:10" x14ac:dyDescent="0.25">
      <c r="B39" t="s">
        <v>232</v>
      </c>
      <c r="C39">
        <f>SUMIF(non_compliance[severity],B39,non_compliance[occurrences])</f>
        <v>17</v>
      </c>
      <c r="F39" s="11" t="s">
        <v>93</v>
      </c>
      <c r="G39" t="str">
        <f>F39 &amp; " - "  &amp; INDEX(Standard[Περιγραφή Ρήτρας],MATCH(F39,Standard[Κριτήριο WCAG],0)) &amp; " - "  &amp; INDEX(Standard[Ρήτρα Ευρωπαϊκού Πρότυπου],MATCH(F39,Standard[Κριτήριο WCAG],0))</f>
        <v>1.4.10 - Reflow - 9.1.4.10</v>
      </c>
      <c r="H39">
        <f>SUMIF(compliance[criterionId],F39,compliance[violations])</f>
        <v>0</v>
      </c>
      <c r="I39" t="e">
        <f t="shared" si="2"/>
        <v>#N/A</v>
      </c>
      <c r="J39" s="14">
        <f t="shared" si="3"/>
        <v>0</v>
      </c>
    </row>
    <row r="40" spans="2:10" x14ac:dyDescent="0.25">
      <c r="B40" t="s">
        <v>448</v>
      </c>
      <c r="C40">
        <f>SUMIF(non_compliance[severity],B40,non_compliance[occurrences])</f>
        <v>0</v>
      </c>
      <c r="F40" s="11" t="s">
        <v>96</v>
      </c>
      <c r="G40" t="str">
        <f>F40 &amp; " - "  &amp; INDEX(Standard[Περιγραφή Ρήτρας],MATCH(F40,Standard[Κριτήριο WCAG],0)) &amp; " - "  &amp; INDEX(Standard[Ρήτρα Ευρωπαϊκού Πρότυπου],MATCH(F40,Standard[Κριτήριο WCAG],0))</f>
        <v>1.4.11 - Non-text contrast - 9.1.4.11</v>
      </c>
      <c r="H40">
        <f>SUMIF(compliance[criterionId],F40,compliance[violations])</f>
        <v>0</v>
      </c>
      <c r="I40" t="e">
        <f t="shared" si="2"/>
        <v>#N/A</v>
      </c>
      <c r="J40" s="14">
        <f t="shared" si="3"/>
        <v>0</v>
      </c>
    </row>
    <row r="41" spans="2:10" x14ac:dyDescent="0.25">
      <c r="C41">
        <f>SUM(C37:C40)</f>
        <v>20</v>
      </c>
      <c r="F41" s="11" t="s">
        <v>99</v>
      </c>
      <c r="G41" t="str">
        <f>F41 &amp; " - "  &amp; INDEX(Standard[Περιγραφή Ρήτρας],MATCH(F41,Standard[Κριτήριο WCAG],0)) &amp; " - "  &amp; INDEX(Standard[Ρήτρα Ευρωπαϊκού Πρότυπου],MATCH(F41,Standard[Κριτήριο WCAG],0))</f>
        <v>1.4.12 - Text spacing - 9.1.4.12</v>
      </c>
      <c r="H41">
        <f>SUMIF(compliance[criterionId],F41,compliance[violations])</f>
        <v>0</v>
      </c>
      <c r="I41" t="e">
        <f t="shared" si="2"/>
        <v>#N/A</v>
      </c>
      <c r="J41" s="14">
        <f t="shared" si="3"/>
        <v>0</v>
      </c>
    </row>
    <row r="42" spans="2:10" x14ac:dyDescent="0.25">
      <c r="F42" s="11" t="s">
        <v>103</v>
      </c>
      <c r="G42" t="str">
        <f>F42 &amp; " - "  &amp; INDEX(Standard[Περιγραφή Ρήτρας],MATCH(F42,Standard[Κριτήριο WCAG],0)) &amp; " - "  &amp; INDEX(Standard[Ρήτρα Ευρωπαϊκού Πρότυπου],MATCH(F42,Standard[Κριτήριο WCAG],0))</f>
        <v>1.4.13 - Content on hover or focus - 9.1.4.13</v>
      </c>
      <c r="H42">
        <f>SUMIF(compliance[criterionId],F42,compliance[violations])</f>
        <v>0</v>
      </c>
      <c r="I42" t="e">
        <f t="shared" si="2"/>
        <v>#N/A</v>
      </c>
      <c r="J42" s="14">
        <f t="shared" si="3"/>
        <v>0</v>
      </c>
    </row>
    <row r="43" spans="2:10" x14ac:dyDescent="0.25">
      <c r="F43" s="11" t="s">
        <v>106</v>
      </c>
      <c r="G43" t="str">
        <f>F43 &amp; " - "  &amp; INDEX(Standard[Περιγραφή Ρήτρας],MATCH(F43,Standard[Κριτήριο WCAG],0)) &amp; " - "  &amp; INDEX(Standard[Ρήτρα Ευρωπαϊκού Πρότυπου],MATCH(F43,Standard[Κριτήριο WCAG],0))</f>
        <v>2.1.1 - Keyboard - 9.2.1.1</v>
      </c>
      <c r="H43">
        <f>SUMIF(compliance[criterionId],F43,compliance[violations])</f>
        <v>0</v>
      </c>
      <c r="I43" t="e">
        <f t="shared" si="2"/>
        <v>#N/A</v>
      </c>
      <c r="J43" s="14">
        <f t="shared" si="3"/>
        <v>0</v>
      </c>
    </row>
    <row r="44" spans="2:10" x14ac:dyDescent="0.25">
      <c r="F44" s="11" t="s">
        <v>112</v>
      </c>
      <c r="G44" t="str">
        <f>F44 &amp; " - "  &amp; INDEX(Standard[Περιγραφή Ρήτρας],MATCH(F44,Standard[Κριτήριο WCAG],0)) &amp; " - "  &amp; INDEX(Standard[Ρήτρα Ευρωπαϊκού Πρότυπου],MATCH(F44,Standard[Κριτήριο WCAG],0))</f>
        <v>2.1.2 - No keyboard trap - 9.2.1.2</v>
      </c>
      <c r="H44">
        <f>SUMIF(compliance[criterionId],F44,compliance[violations])</f>
        <v>0</v>
      </c>
      <c r="I44" t="e">
        <f t="shared" si="2"/>
        <v>#N/A</v>
      </c>
      <c r="J44" s="14">
        <f t="shared" si="3"/>
        <v>0</v>
      </c>
    </row>
    <row r="45" spans="2:10" x14ac:dyDescent="0.25">
      <c r="F45" s="11" t="s">
        <v>116</v>
      </c>
      <c r="G45" t="str">
        <f>F45 &amp; " - "  &amp; INDEX(Standard[Περιγραφή Ρήτρας],MATCH(F45,Standard[Κριτήριο WCAG],0)) &amp; " - "  &amp; INDEX(Standard[Ρήτρα Ευρωπαϊκού Πρότυπου],MATCH(F45,Standard[Κριτήριο WCAG],0))</f>
        <v>2.1.4 - Character key shortcuts - 9.2.1.4</v>
      </c>
      <c r="H45">
        <f>SUMIF(compliance[criterionId],F45,compliance[violations])</f>
        <v>0</v>
      </c>
      <c r="I45" t="e">
        <f t="shared" si="2"/>
        <v>#N/A</v>
      </c>
      <c r="J45" s="14">
        <f t="shared" si="3"/>
        <v>0</v>
      </c>
    </row>
    <row r="46" spans="2:10" x14ac:dyDescent="0.25">
      <c r="F46" s="11" t="s">
        <v>119</v>
      </c>
      <c r="G46" t="str">
        <f>F46 &amp; " - "  &amp; INDEX(Standard[Περιγραφή Ρήτρας],MATCH(F46,Standard[Κριτήριο WCAG],0)) &amp; " - "  &amp; INDEX(Standard[Ρήτρα Ευρωπαϊκού Πρότυπου],MATCH(F46,Standard[Κριτήριο WCAG],0))</f>
        <v>2.2.1 - Timing adjustable - 9.2.2.1</v>
      </c>
      <c r="H46">
        <f>SUMIF(compliance[criterionId],F46,compliance[violations])</f>
        <v>0</v>
      </c>
      <c r="I46" t="e">
        <f t="shared" si="2"/>
        <v>#N/A</v>
      </c>
      <c r="J46" s="14">
        <f t="shared" si="3"/>
        <v>0</v>
      </c>
    </row>
    <row r="47" spans="2:10" x14ac:dyDescent="0.25">
      <c r="F47" s="11" t="s">
        <v>124</v>
      </c>
      <c r="G47" t="str">
        <f>F47 &amp; " - "  &amp; INDEX(Standard[Περιγραφή Ρήτρας],MATCH(F47,Standard[Κριτήριο WCAG],0)) &amp; " - "  &amp; INDEX(Standard[Ρήτρα Ευρωπαϊκού Πρότυπου],MATCH(F47,Standard[Κριτήριο WCAG],0))</f>
        <v>2.2.2 - Pause, stop, hide - 9.2.2.2</v>
      </c>
      <c r="H47">
        <f>SUMIF(compliance[criterionId],F47,compliance[violations])</f>
        <v>0</v>
      </c>
      <c r="I47" t="e">
        <f t="shared" si="2"/>
        <v>#N/A</v>
      </c>
      <c r="J47" s="14">
        <f t="shared" si="3"/>
        <v>0</v>
      </c>
    </row>
    <row r="48" spans="2:10" x14ac:dyDescent="0.25">
      <c r="F48" s="11" t="s">
        <v>127</v>
      </c>
      <c r="G48" t="str">
        <f>F48 &amp; " - "  &amp; INDEX(Standard[Περιγραφή Ρήτρας],MATCH(F48,Standard[Κριτήριο WCAG],0)) &amp; " - "  &amp; INDEX(Standard[Ρήτρα Ευρωπαϊκού Πρότυπου],MATCH(F48,Standard[Κριτήριο WCAG],0))</f>
        <v>2.3.1 - Three flashes or below threshold - 9.2.3.1</v>
      </c>
      <c r="H48">
        <f>SUMIF(compliance[criterionId],F48,compliance[violations])</f>
        <v>0</v>
      </c>
      <c r="I48" t="e">
        <f t="shared" si="2"/>
        <v>#N/A</v>
      </c>
      <c r="J48" s="14">
        <f t="shared" si="3"/>
        <v>0</v>
      </c>
    </row>
    <row r="49" spans="6:10" x14ac:dyDescent="0.25">
      <c r="F49" s="11" t="s">
        <v>132</v>
      </c>
      <c r="G49" t="str">
        <f>F49 &amp; " - "  &amp; INDEX(Standard[Περιγραφή Ρήτρας],MATCH(F49,Standard[Κριτήριο WCAG],0)) &amp; " - "  &amp; INDEX(Standard[Ρήτρα Ευρωπαϊκού Πρότυπου],MATCH(F49,Standard[Κριτήριο WCAG],0))</f>
        <v>2.4.1 - Bypass blocks - 9.2.4.1</v>
      </c>
      <c r="H49">
        <f>SUMIF(compliance[criterionId],F49,compliance[violations])</f>
        <v>0</v>
      </c>
      <c r="I49" t="e">
        <f t="shared" si="2"/>
        <v>#N/A</v>
      </c>
      <c r="J49" s="14">
        <f t="shared" si="3"/>
        <v>0</v>
      </c>
    </row>
    <row r="50" spans="6:10" x14ac:dyDescent="0.25">
      <c r="F50" s="11" t="s">
        <v>137</v>
      </c>
      <c r="G50" t="str">
        <f>F50 &amp; " - "  &amp; INDEX(Standard[Περιγραφή Ρήτρας],MATCH(F50,Standard[Κριτήριο WCAG],0)) &amp; " - "  &amp; INDEX(Standard[Ρήτρα Ευρωπαϊκού Πρότυπου],MATCH(F50,Standard[Κριτήριο WCAG],0))</f>
        <v>2.4.2 - Page titled - 9.2.4.2</v>
      </c>
      <c r="H50">
        <f>SUMIF(compliance[criterionId],F50,compliance[violations])</f>
        <v>0</v>
      </c>
      <c r="I50" t="e">
        <f t="shared" si="2"/>
        <v>#N/A</v>
      </c>
      <c r="J50" s="14">
        <f t="shared" si="3"/>
        <v>0</v>
      </c>
    </row>
    <row r="51" spans="6:10" x14ac:dyDescent="0.25">
      <c r="F51" s="11" t="s">
        <v>141</v>
      </c>
      <c r="G51" t="str">
        <f>F51 &amp; " - "  &amp; INDEX(Standard[Περιγραφή Ρήτρας],MATCH(F51,Standard[Κριτήριο WCAG],0)) &amp; " - "  &amp; INDEX(Standard[Ρήτρα Ευρωπαϊκού Πρότυπου],MATCH(F51,Standard[Κριτήριο WCAG],0))</f>
        <v>2.4.3 - Focus order - 9.2.4.3</v>
      </c>
      <c r="H51">
        <f>SUMIF(compliance[criterionId],F51,compliance[violations])</f>
        <v>0</v>
      </c>
      <c r="I51" t="e">
        <f t="shared" si="2"/>
        <v>#N/A</v>
      </c>
      <c r="J51" s="14">
        <f t="shared" si="3"/>
        <v>0</v>
      </c>
    </row>
    <row r="52" spans="6:10" x14ac:dyDescent="0.25">
      <c r="F52" s="11" t="s">
        <v>11</v>
      </c>
      <c r="G52" t="str">
        <f>F52 &amp; " - "  &amp; INDEX(Standard[Περιγραφή Ρήτρας],MATCH(F52,Standard[Κριτήριο WCAG],0)) &amp; " - "  &amp; INDEX(Standard[Ρήτρα Ευρωπαϊκού Πρότυπου],MATCH(F52,Standard[Κριτήριο WCAG],0))</f>
        <v>2.4.4 - Link purpose (in context) - 9.2.4.4</v>
      </c>
      <c r="H52">
        <f>SUMIF(compliance[criterionId],F52,compliance[violations])</f>
        <v>7</v>
      </c>
      <c r="I52">
        <f t="shared" si="2"/>
        <v>7</v>
      </c>
      <c r="J52" s="14">
        <f t="shared" si="3"/>
        <v>0.15555555555555556</v>
      </c>
    </row>
    <row r="53" spans="6:10" x14ac:dyDescent="0.25">
      <c r="F53" s="11" t="s">
        <v>147</v>
      </c>
      <c r="G53" t="str">
        <f>F53 &amp; " - "  &amp; INDEX(Standard[Περιγραφή Ρήτρας],MATCH(F53,Standard[Κριτήριο WCAG],0)) &amp; " - "  &amp; INDEX(Standard[Ρήτρα Ευρωπαϊκού Πρότυπου],MATCH(F53,Standard[Κριτήριο WCAG],0))</f>
        <v>2.4.5 - Multiple ways - 9.2.4.5</v>
      </c>
      <c r="H53">
        <f>SUMIF(compliance[criterionId],F53,compliance[violations])</f>
        <v>0</v>
      </c>
      <c r="I53" t="e">
        <f t="shared" si="2"/>
        <v>#N/A</v>
      </c>
      <c r="J53" s="14">
        <f t="shared" si="3"/>
        <v>0</v>
      </c>
    </row>
    <row r="54" spans="6:10" x14ac:dyDescent="0.25">
      <c r="F54" s="11" t="s">
        <v>150</v>
      </c>
      <c r="G54" t="str">
        <f>F54 &amp; " - "  &amp; INDEX(Standard[Περιγραφή Ρήτρας],MATCH(F54,Standard[Κριτήριο WCAG],0)) &amp; " - "  &amp; INDEX(Standard[Ρήτρα Ευρωπαϊκού Πρότυπου],MATCH(F54,Standard[Κριτήριο WCAG],0))</f>
        <v>2.4.6 - Headings and labels - 9.2.4.6</v>
      </c>
      <c r="H54">
        <f>SUMIF(compliance[criterionId],F54,compliance[violations])</f>
        <v>0</v>
      </c>
      <c r="I54" t="e">
        <f t="shared" si="2"/>
        <v>#N/A</v>
      </c>
      <c r="J54" s="14">
        <f t="shared" si="3"/>
        <v>0</v>
      </c>
    </row>
    <row r="55" spans="6:10" x14ac:dyDescent="0.25">
      <c r="F55" s="11" t="s">
        <v>154</v>
      </c>
      <c r="G55" t="str">
        <f>F55 &amp; " - "  &amp; INDEX(Standard[Περιγραφή Ρήτρας],MATCH(F55,Standard[Κριτήριο WCAG],0)) &amp; " - "  &amp; INDEX(Standard[Ρήτρα Ευρωπαϊκού Πρότυπου],MATCH(F55,Standard[Κριτήριο WCAG],0))</f>
        <v>2.4.7 - Focus visible - 9.2.4.7</v>
      </c>
      <c r="H55">
        <f>SUMIF(compliance[criterionId],F55,compliance[violations])</f>
        <v>0</v>
      </c>
      <c r="I55" t="e">
        <f t="shared" si="2"/>
        <v>#N/A</v>
      </c>
      <c r="J55" s="14">
        <f t="shared" si="3"/>
        <v>0</v>
      </c>
    </row>
    <row r="56" spans="6:10" x14ac:dyDescent="0.25">
      <c r="F56" s="11" t="s">
        <v>157</v>
      </c>
      <c r="G56" t="str">
        <f>F56 &amp; " - "  &amp; INDEX(Standard[Περιγραφή Ρήτρας],MATCH(F56,Standard[Κριτήριο WCAG],0)) &amp; " - "  &amp; INDEX(Standard[Ρήτρα Ευρωπαϊκού Πρότυπου],MATCH(F56,Standard[Κριτήριο WCAG],0))</f>
        <v>2.5.1 - Pointer gestures - 9.2.5.1</v>
      </c>
      <c r="H56">
        <f>SUMIF(compliance[criterionId],F56,compliance[violations])</f>
        <v>0</v>
      </c>
      <c r="I56" t="e">
        <f t="shared" si="2"/>
        <v>#N/A</v>
      </c>
      <c r="J56" s="14">
        <f t="shared" si="3"/>
        <v>0</v>
      </c>
    </row>
    <row r="57" spans="6:10" x14ac:dyDescent="0.25">
      <c r="F57" s="11" t="s">
        <v>161</v>
      </c>
      <c r="G57" t="str">
        <f>F57 &amp; " - "  &amp; INDEX(Standard[Περιγραφή Ρήτρας],MATCH(F57,Standard[Κριτήριο WCAG],0)) &amp; " - "  &amp; INDEX(Standard[Ρήτρα Ευρωπαϊκού Πρότυπου],MATCH(F57,Standard[Κριτήριο WCAG],0))</f>
        <v>2.5.2 - Pointer cancellation - 9.2.5.2</v>
      </c>
      <c r="H57">
        <f>SUMIF(compliance[criterionId],F57,compliance[violations])</f>
        <v>0</v>
      </c>
      <c r="I57" t="e">
        <f t="shared" si="2"/>
        <v>#N/A</v>
      </c>
      <c r="J57" s="14">
        <f t="shared" si="3"/>
        <v>0</v>
      </c>
    </row>
    <row r="58" spans="6:10" x14ac:dyDescent="0.25">
      <c r="F58" s="11" t="s">
        <v>165</v>
      </c>
      <c r="G58" t="str">
        <f>F58 &amp; " - "  &amp; INDEX(Standard[Περιγραφή Ρήτρας],MATCH(F58,Standard[Κριτήριο WCAG],0)) &amp; " - "  &amp; INDEX(Standard[Ρήτρα Ευρωπαϊκού Πρότυπου],MATCH(F58,Standard[Κριτήριο WCAG],0))</f>
        <v>2.5.3 - Label in name - 9.2.5.3</v>
      </c>
      <c r="H58">
        <f>SUMIF(compliance[criterionId],F58,compliance[violations])</f>
        <v>0</v>
      </c>
      <c r="I58" t="e">
        <f t="shared" si="2"/>
        <v>#N/A</v>
      </c>
      <c r="J58" s="14">
        <f t="shared" si="3"/>
        <v>0</v>
      </c>
    </row>
    <row r="59" spans="6:10" x14ac:dyDescent="0.25">
      <c r="F59" s="11" t="s">
        <v>168</v>
      </c>
      <c r="G59" t="str">
        <f>F59 &amp; " - "  &amp; INDEX(Standard[Περιγραφή Ρήτρας],MATCH(F59,Standard[Κριτήριο WCAG],0)) &amp; " - "  &amp; INDEX(Standard[Ρήτρα Ευρωπαϊκού Πρότυπου],MATCH(F59,Standard[Κριτήριο WCAG],0))</f>
        <v>2.5.4 - Motion actuation - 9.2.5.4</v>
      </c>
      <c r="H59">
        <f>SUMIF(compliance[criterionId],F59,compliance[violations])</f>
        <v>0</v>
      </c>
      <c r="I59" t="e">
        <f t="shared" si="2"/>
        <v>#N/A</v>
      </c>
      <c r="J59" s="14">
        <f t="shared" si="3"/>
        <v>0</v>
      </c>
    </row>
    <row r="60" spans="6:10" x14ac:dyDescent="0.25">
      <c r="F60" s="11" t="s">
        <v>17</v>
      </c>
      <c r="G60" t="str">
        <f>F60 &amp; " - "  &amp; INDEX(Standard[Περιγραφή Ρήτρας],MATCH(F60,Standard[Κριτήριο WCAG],0)) &amp; " - "  &amp; INDEX(Standard[Ρήτρα Ευρωπαϊκού Πρότυπου],MATCH(F60,Standard[Κριτήριο WCAG],0))</f>
        <v>3.1.1 - Language of page - 9.3.1.1</v>
      </c>
      <c r="H60">
        <f>SUMIF(compliance[criterionId],F60,compliance[violations])</f>
        <v>3</v>
      </c>
      <c r="I60">
        <f t="shared" si="2"/>
        <v>3</v>
      </c>
      <c r="J60" s="14">
        <f t="shared" si="3"/>
        <v>6.6666666666666666E-2</v>
      </c>
    </row>
    <row r="61" spans="6:10" x14ac:dyDescent="0.25">
      <c r="F61" s="11" t="s">
        <v>176</v>
      </c>
      <c r="G61" t="str">
        <f>F61 &amp; " - "  &amp; INDEX(Standard[Περιγραφή Ρήτρας],MATCH(F61,Standard[Κριτήριο WCAG],0)) &amp; " - "  &amp; INDEX(Standard[Ρήτρα Ευρωπαϊκού Πρότυπου],MATCH(F61,Standard[Κριτήριο WCAG],0))</f>
        <v>3.1.2 - Language of parts - 9.3.1.2</v>
      </c>
      <c r="H61">
        <f>SUMIF(compliance[criterionId],F61,compliance[violations])</f>
        <v>0</v>
      </c>
      <c r="I61" t="e">
        <f t="shared" si="2"/>
        <v>#N/A</v>
      </c>
      <c r="J61" s="14">
        <f t="shared" si="3"/>
        <v>0</v>
      </c>
    </row>
    <row r="62" spans="6:10" x14ac:dyDescent="0.25">
      <c r="F62" s="11" t="s">
        <v>179</v>
      </c>
      <c r="G62" t="str">
        <f>F62 &amp; " - "  &amp; INDEX(Standard[Περιγραφή Ρήτρας],MATCH(F62,Standard[Κριτήριο WCAG],0)) &amp; " - "  &amp; INDEX(Standard[Ρήτρα Ευρωπαϊκού Πρότυπου],MATCH(F62,Standard[Κριτήριο WCAG],0))</f>
        <v>3.2.1 - On focus - 9.3.2.1</v>
      </c>
      <c r="H62">
        <f>SUMIF(compliance[criterionId],F62,compliance[violations])</f>
        <v>0</v>
      </c>
      <c r="I62" t="e">
        <f t="shared" si="2"/>
        <v>#N/A</v>
      </c>
      <c r="J62" s="14">
        <f t="shared" si="3"/>
        <v>0</v>
      </c>
    </row>
    <row r="63" spans="6:10" x14ac:dyDescent="0.25">
      <c r="F63" s="11" t="s">
        <v>183</v>
      </c>
      <c r="G63" t="str">
        <f>F63 &amp; " - "  &amp; INDEX(Standard[Περιγραφή Ρήτρας],MATCH(F63,Standard[Κριτήριο WCAG],0)) &amp; " - "  &amp; INDEX(Standard[Ρήτρα Ευρωπαϊκού Πρότυπου],MATCH(F63,Standard[Κριτήριο WCAG],0))</f>
        <v>3.2.2 - On input - 9.3.2.2</v>
      </c>
      <c r="H63">
        <f>SUMIF(compliance[criterionId],F63,compliance[violations])</f>
        <v>0</v>
      </c>
      <c r="I63" t="e">
        <f t="shared" si="2"/>
        <v>#N/A</v>
      </c>
      <c r="J63" s="14">
        <f t="shared" si="3"/>
        <v>0</v>
      </c>
    </row>
    <row r="64" spans="6:10" x14ac:dyDescent="0.25">
      <c r="F64" s="11" t="s">
        <v>186</v>
      </c>
      <c r="G64" t="str">
        <f>F64 &amp; " - "  &amp; INDEX(Standard[Περιγραφή Ρήτρας],MATCH(F64,Standard[Κριτήριο WCAG],0)) &amp; " - "  &amp; INDEX(Standard[Ρήτρα Ευρωπαϊκού Πρότυπου],MATCH(F64,Standard[Κριτήριο WCAG],0))</f>
        <v>3.2.3 - Consistent navigation - 9.3.2.3</v>
      </c>
      <c r="H64">
        <f>SUMIF(compliance[criterionId],F64,compliance[violations])</f>
        <v>0</v>
      </c>
      <c r="I64" t="e">
        <f t="shared" si="2"/>
        <v>#N/A</v>
      </c>
      <c r="J64" s="14">
        <f t="shared" si="3"/>
        <v>0</v>
      </c>
    </row>
    <row r="65" spans="6:10" x14ac:dyDescent="0.25">
      <c r="F65" s="11" t="s">
        <v>189</v>
      </c>
      <c r="G65" t="str">
        <f>F65 &amp; " - "  &amp; INDEX(Standard[Περιγραφή Ρήτρας],MATCH(F65,Standard[Κριτήριο WCAG],0)) &amp; " - "  &amp; INDEX(Standard[Ρήτρα Ευρωπαϊκού Πρότυπου],MATCH(F65,Standard[Κριτήριο WCAG],0))</f>
        <v>3.2.4 - Consistent identification - 9.3.2.4</v>
      </c>
      <c r="H65">
        <f>SUMIF(compliance[criterionId],F65,compliance[violations])</f>
        <v>0</v>
      </c>
      <c r="I65" t="e">
        <f t="shared" si="2"/>
        <v>#N/A</v>
      </c>
      <c r="J65" s="14">
        <f t="shared" si="3"/>
        <v>0</v>
      </c>
    </row>
    <row r="66" spans="6:10" x14ac:dyDescent="0.25">
      <c r="F66" s="11" t="s">
        <v>193</v>
      </c>
      <c r="G66" t="str">
        <f>F66 &amp; " - "  &amp; INDEX(Standard[Περιγραφή Ρήτρας],MATCH(F66,Standard[Κριτήριο WCAG],0)) &amp; " - "  &amp; INDEX(Standard[Ρήτρα Ευρωπαϊκού Πρότυπου],MATCH(F66,Standard[Κριτήριο WCAG],0))</f>
        <v>3.3.1 - Error identification - 9.3.3.1</v>
      </c>
      <c r="H66">
        <f>SUMIF(compliance[criterionId],F66,compliance[violations])</f>
        <v>0</v>
      </c>
      <c r="I66" t="e">
        <f t="shared" si="2"/>
        <v>#N/A</v>
      </c>
      <c r="J66" s="14">
        <f t="shared" si="3"/>
        <v>0</v>
      </c>
    </row>
    <row r="67" spans="6:10" x14ac:dyDescent="0.25">
      <c r="F67" s="11" t="s">
        <v>197</v>
      </c>
      <c r="G67" t="str">
        <f>F67 &amp; " - "  &amp; INDEX(Standard[Περιγραφή Ρήτρας],MATCH(F67,Standard[Κριτήριο WCAG],0)) &amp; " - "  &amp; INDEX(Standard[Ρήτρα Ευρωπαϊκού Πρότυπου],MATCH(F67,Standard[Κριτήριο WCAG],0))</f>
        <v>3.3.2 - Labels or instructions - 9.3.3.2</v>
      </c>
      <c r="H67">
        <f>SUMIF(compliance[criterionId],F67,compliance[violations])</f>
        <v>0</v>
      </c>
      <c r="I67" t="e">
        <f t="shared" si="2"/>
        <v>#N/A</v>
      </c>
      <c r="J67" s="14">
        <f t="shared" si="3"/>
        <v>0</v>
      </c>
    </row>
    <row r="68" spans="6:10" x14ac:dyDescent="0.25">
      <c r="F68" s="11" t="s">
        <v>201</v>
      </c>
      <c r="G68" t="str">
        <f>F68 &amp; " - "  &amp; INDEX(Standard[Περιγραφή Ρήτρας],MATCH(F68,Standard[Κριτήριο WCAG],0)) &amp; " - "  &amp; INDEX(Standard[Ρήτρα Ευρωπαϊκού Πρότυπου],MATCH(F68,Standard[Κριτήριο WCAG],0))</f>
        <v>3.3.3 - Error suggestion - 9.3.3.3</v>
      </c>
      <c r="H68">
        <f>SUMIF(compliance[criterionId],F68,compliance[violations])</f>
        <v>0</v>
      </c>
      <c r="I68" t="e">
        <f t="shared" si="2"/>
        <v>#N/A</v>
      </c>
      <c r="J68" s="14">
        <f t="shared" si="3"/>
        <v>0</v>
      </c>
    </row>
    <row r="69" spans="6:10" x14ac:dyDescent="0.25">
      <c r="F69" s="11" t="s">
        <v>204</v>
      </c>
      <c r="G69" t="str">
        <f>F69 &amp; " - "  &amp; INDEX(Standard[Περιγραφή Ρήτρας],MATCH(F69,Standard[Κριτήριο WCAG],0)) &amp; " - "  &amp; INDEX(Standard[Ρήτρα Ευρωπαϊκού Πρότυπου],MATCH(F69,Standard[Κριτήριο WCAG],0))</f>
        <v>3.3.4 - Error prevention (legal, financial, data) - 9.3.3.4</v>
      </c>
      <c r="H69">
        <f>SUMIF(compliance[criterionId],F69,compliance[violations])</f>
        <v>0</v>
      </c>
      <c r="I69" t="e">
        <f t="shared" si="2"/>
        <v>#N/A</v>
      </c>
      <c r="J69" s="14">
        <f t="shared" si="3"/>
        <v>0</v>
      </c>
    </row>
    <row r="70" spans="6:10" x14ac:dyDescent="0.25">
      <c r="F70" s="11" t="s">
        <v>208</v>
      </c>
      <c r="G70" t="str">
        <f>F70 &amp; " - "  &amp; INDEX(Standard[Περιγραφή Ρήτρας],MATCH(F70,Standard[Κριτήριο WCAG],0)) &amp; " - "  &amp; INDEX(Standard[Ρήτρα Ευρωπαϊκού Πρότυπου],MATCH(F70,Standard[Κριτήριο WCAG],0))</f>
        <v>4.1.1 - Parsing - 9.4.1.1</v>
      </c>
      <c r="H70">
        <f>SUMIF(compliance[criterionId],F70,compliance[violations])</f>
        <v>0</v>
      </c>
      <c r="I70" t="e">
        <f t="shared" si="2"/>
        <v>#N/A</v>
      </c>
      <c r="J70" s="14">
        <f t="shared" si="3"/>
        <v>0</v>
      </c>
    </row>
    <row r="71" spans="6:10" x14ac:dyDescent="0.25">
      <c r="F71" s="11" t="s">
        <v>8</v>
      </c>
      <c r="G71" t="str">
        <f>F71 &amp; " - "  &amp; INDEX(Standard[Περιγραφή Ρήτρας],MATCH(F71,Standard[Κριτήριο WCAG],0)) &amp; " - "  &amp; INDEX(Standard[Ρήτρα Ευρωπαϊκού Πρότυπου],MATCH(F71,Standard[Κριτήριο WCAG],0))</f>
        <v>4.1.2 - Name, role, value - 9.4.1.2</v>
      </c>
      <c r="H71">
        <f>SUMIF(compliance[criterionId],F71,compliance[violations])</f>
        <v>10</v>
      </c>
      <c r="I71">
        <f t="shared" si="2"/>
        <v>10</v>
      </c>
      <c r="J71" s="14">
        <f t="shared" si="3"/>
        <v>0.22222222222222221</v>
      </c>
    </row>
    <row r="72" spans="6:10" x14ac:dyDescent="0.25">
      <c r="F72" s="11" t="s">
        <v>217</v>
      </c>
      <c r="G72" t="str">
        <f>F72 &amp; " - "  &amp; INDEX(Standard[Περιγραφή Ρήτρας],MATCH(F72,Standard[Κριτήριο WCAG],0)) &amp; " - "  &amp; INDEX(Standard[Ρήτρα Ευρωπαϊκού Πρότυπου],MATCH(F72,Standard[Κριτήριο WCAG],0))</f>
        <v>4.1.3 - Status messages - 9.4.1.3</v>
      </c>
      <c r="H72">
        <f>SUMIF(compliance[criterionId],F72,compliance[violations])</f>
        <v>0</v>
      </c>
      <c r="I72" t="e">
        <f t="shared" si="2"/>
        <v>#N/A</v>
      </c>
      <c r="J72" s="14">
        <f t="shared" si="3"/>
        <v>0</v>
      </c>
    </row>
    <row r="73" spans="6:10" x14ac:dyDescent="0.25">
      <c r="H73">
        <f>SUM(H23:H72)</f>
        <v>45</v>
      </c>
      <c r="I73">
        <f t="shared" si="2"/>
        <v>45</v>
      </c>
      <c r="J73" s="14">
        <f>SUM(J23:J72)</f>
        <v>1</v>
      </c>
    </row>
  </sheetData>
  <conditionalFormatting sqref="C21">
    <cfRule type="cellIs" dxfId="28" priority="1" operator="equal">
      <formula>"⚠ No data loaded"</formula>
    </cfRule>
    <cfRule type="cellIs" dxfId="27" priority="2" operator="equal">
      <formula>"✓ Data loaded"</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A4ED6-2D0A-4475-8E77-F01B1DC150DC}">
  <sheetPr codeName="Sheet8"/>
  <dimension ref="A2:H120"/>
  <sheetViews>
    <sheetView workbookViewId="0">
      <selection activeCell="G112" sqref="G112"/>
    </sheetView>
  </sheetViews>
  <sheetFormatPr defaultRowHeight="15" x14ac:dyDescent="0.25"/>
  <cols>
    <col min="1" max="1" width="42.140625" bestFit="1" customWidth="1"/>
    <col min="2" max="2" width="16.85546875" bestFit="1" customWidth="1"/>
    <col min="3" max="3" width="6.140625" bestFit="1" customWidth="1"/>
    <col min="4" max="4" width="5.42578125" bestFit="1" customWidth="1"/>
    <col min="5" max="6" width="11.28515625" bestFit="1" customWidth="1"/>
    <col min="7" max="7" width="19.5703125" bestFit="1" customWidth="1"/>
    <col min="8" max="8" width="16.7109375" bestFit="1" customWidth="1"/>
  </cols>
  <sheetData>
    <row r="2" spans="1:5" ht="18.75" x14ac:dyDescent="0.3">
      <c r="A2" s="12" t="s">
        <v>277</v>
      </c>
    </row>
    <row r="3" spans="1:5" x14ac:dyDescent="0.25">
      <c r="A3" t="s">
        <v>278</v>
      </c>
    </row>
    <row r="4" spans="1:5" x14ac:dyDescent="0.25">
      <c r="A4" s="16" t="s">
        <v>281</v>
      </c>
      <c r="B4" s="16" t="s">
        <v>283</v>
      </c>
    </row>
    <row r="5" spans="1:5" x14ac:dyDescent="0.25">
      <c r="A5" s="16" t="s">
        <v>279</v>
      </c>
      <c r="B5" t="s">
        <v>21</v>
      </c>
      <c r="C5" t="s">
        <v>10</v>
      </c>
      <c r="D5" t="s">
        <v>19</v>
      </c>
      <c r="E5" t="s">
        <v>280</v>
      </c>
    </row>
    <row r="6" spans="1:5" x14ac:dyDescent="0.25">
      <c r="A6" s="17" t="s">
        <v>242</v>
      </c>
      <c r="B6" s="31"/>
      <c r="C6" s="31"/>
      <c r="D6" s="31"/>
      <c r="E6" s="31"/>
    </row>
    <row r="7" spans="1:5" x14ac:dyDescent="0.25">
      <c r="A7" s="18" t="s">
        <v>253</v>
      </c>
      <c r="B7" s="31"/>
      <c r="C7" s="31"/>
      <c r="D7" s="31"/>
      <c r="E7" s="31"/>
    </row>
    <row r="8" spans="1:5" x14ac:dyDescent="0.25">
      <c r="A8" s="19" t="s">
        <v>459</v>
      </c>
      <c r="B8" s="31">
        <v>2</v>
      </c>
      <c r="C8" s="31">
        <v>2</v>
      </c>
      <c r="D8" s="31">
        <v>3</v>
      </c>
      <c r="E8" s="31">
        <v>7</v>
      </c>
    </row>
    <row r="9" spans="1:5" x14ac:dyDescent="0.25">
      <c r="A9" s="17" t="s">
        <v>221</v>
      </c>
      <c r="B9" s="31"/>
      <c r="C9" s="31"/>
      <c r="D9" s="31"/>
      <c r="E9" s="31"/>
    </row>
    <row r="10" spans="1:5" x14ac:dyDescent="0.25">
      <c r="A10" s="18" t="s">
        <v>247</v>
      </c>
      <c r="B10" s="31"/>
      <c r="C10" s="31"/>
      <c r="D10" s="31"/>
      <c r="E10" s="31"/>
    </row>
    <row r="11" spans="1:5" x14ac:dyDescent="0.25">
      <c r="A11" s="19" t="s">
        <v>282</v>
      </c>
      <c r="B11" s="31">
        <v>3</v>
      </c>
      <c r="C11" s="31">
        <v>3</v>
      </c>
      <c r="D11" s="31">
        <v>3</v>
      </c>
      <c r="E11" s="31">
        <v>9</v>
      </c>
    </row>
    <row r="12" spans="1:5" x14ac:dyDescent="0.25">
      <c r="A12" s="18" t="s">
        <v>220</v>
      </c>
      <c r="B12" s="31"/>
      <c r="C12" s="31"/>
      <c r="D12" s="31"/>
      <c r="E12" s="31"/>
    </row>
    <row r="13" spans="1:5" x14ac:dyDescent="0.25">
      <c r="A13" s="19" t="s">
        <v>460</v>
      </c>
      <c r="B13" s="31">
        <v>7</v>
      </c>
      <c r="C13" s="31">
        <v>5</v>
      </c>
      <c r="D13" s="31">
        <v>4</v>
      </c>
      <c r="E13" s="31">
        <v>16</v>
      </c>
    </row>
    <row r="14" spans="1:5" x14ac:dyDescent="0.25">
      <c r="A14" s="17" t="s">
        <v>223</v>
      </c>
      <c r="B14" s="31"/>
      <c r="C14" s="31"/>
      <c r="D14" s="31"/>
      <c r="E14" s="31"/>
    </row>
    <row r="15" spans="1:5" x14ac:dyDescent="0.25">
      <c r="A15" s="18" t="s">
        <v>222</v>
      </c>
      <c r="B15" s="31"/>
      <c r="C15" s="31"/>
      <c r="D15" s="31"/>
      <c r="E15" s="31"/>
    </row>
    <row r="16" spans="1:5" x14ac:dyDescent="0.25">
      <c r="A16" s="19" t="s">
        <v>461</v>
      </c>
      <c r="B16" s="31">
        <v>2</v>
      </c>
      <c r="C16" s="31">
        <v>2</v>
      </c>
      <c r="D16" s="31">
        <v>6</v>
      </c>
      <c r="E16" s="31">
        <v>10</v>
      </c>
    </row>
    <row r="17" spans="1:5" x14ac:dyDescent="0.25">
      <c r="A17" s="17" t="s">
        <v>225</v>
      </c>
      <c r="B17" s="31"/>
      <c r="C17" s="31"/>
      <c r="D17" s="31"/>
      <c r="E17" s="31"/>
    </row>
    <row r="18" spans="1:5" x14ac:dyDescent="0.25">
      <c r="A18" s="18" t="s">
        <v>224</v>
      </c>
      <c r="B18" s="31"/>
      <c r="C18" s="31"/>
      <c r="D18" s="31"/>
      <c r="E18" s="31"/>
    </row>
    <row r="19" spans="1:5" x14ac:dyDescent="0.25">
      <c r="A19" s="19" t="s">
        <v>462</v>
      </c>
      <c r="B19" s="31">
        <v>1</v>
      </c>
      <c r="C19" s="31">
        <v>1</v>
      </c>
      <c r="D19" s="31">
        <v>1</v>
      </c>
      <c r="E19" s="31">
        <v>3</v>
      </c>
    </row>
    <row r="20" spans="1:5" x14ac:dyDescent="0.25">
      <c r="A20" s="17" t="s">
        <v>280</v>
      </c>
      <c r="B20" s="31">
        <v>15</v>
      </c>
      <c r="C20" s="31">
        <v>13</v>
      </c>
      <c r="D20" s="31">
        <v>17</v>
      </c>
      <c r="E20" s="31">
        <v>45</v>
      </c>
    </row>
    <row r="100" spans="1:8" x14ac:dyDescent="0.25">
      <c r="A100" t="s">
        <v>278</v>
      </c>
      <c r="D100" t="s">
        <v>431</v>
      </c>
      <c r="G100" s="11" t="s">
        <v>435</v>
      </c>
    </row>
    <row r="101" spans="1:8" x14ac:dyDescent="0.25">
      <c r="A101" s="16" t="s">
        <v>279</v>
      </c>
      <c r="B101" t="s">
        <v>281</v>
      </c>
      <c r="D101" s="16" t="s">
        <v>279</v>
      </c>
      <c r="E101" t="s">
        <v>281</v>
      </c>
      <c r="G101" s="16" t="s">
        <v>279</v>
      </c>
      <c r="H101" t="s">
        <v>281</v>
      </c>
    </row>
    <row r="102" spans="1:8" x14ac:dyDescent="0.25">
      <c r="A102" s="17" t="s">
        <v>21</v>
      </c>
      <c r="B102" s="31">
        <v>15</v>
      </c>
      <c r="D102" s="17" t="s">
        <v>21</v>
      </c>
      <c r="E102" s="31"/>
      <c r="G102" s="17" t="s">
        <v>282</v>
      </c>
      <c r="H102" s="31">
        <v>9</v>
      </c>
    </row>
    <row r="103" spans="1:8" x14ac:dyDescent="0.25">
      <c r="A103" s="17" t="s">
        <v>10</v>
      </c>
      <c r="B103" s="31">
        <v>13</v>
      </c>
      <c r="D103" s="18" t="s">
        <v>18</v>
      </c>
      <c r="E103" s="31">
        <v>3</v>
      </c>
      <c r="G103" s="17" t="s">
        <v>460</v>
      </c>
      <c r="H103" s="31">
        <v>16</v>
      </c>
    </row>
    <row r="104" spans="1:8" x14ac:dyDescent="0.25">
      <c r="A104" s="17" t="s">
        <v>19</v>
      </c>
      <c r="B104" s="31">
        <v>17</v>
      </c>
      <c r="D104" s="18" t="s">
        <v>13</v>
      </c>
      <c r="E104" s="31">
        <v>7</v>
      </c>
      <c r="G104" s="17" t="s">
        <v>459</v>
      </c>
      <c r="H104" s="31">
        <v>7</v>
      </c>
    </row>
    <row r="105" spans="1:8" x14ac:dyDescent="0.25">
      <c r="A105" s="17" t="s">
        <v>280</v>
      </c>
      <c r="B105" s="31">
        <v>45</v>
      </c>
      <c r="D105" s="18" t="s">
        <v>11</v>
      </c>
      <c r="E105" s="31">
        <v>2</v>
      </c>
      <c r="G105" s="17" t="s">
        <v>462</v>
      </c>
      <c r="H105" s="31">
        <v>3</v>
      </c>
    </row>
    <row r="106" spans="1:8" x14ac:dyDescent="0.25">
      <c r="D106" s="18" t="s">
        <v>17</v>
      </c>
      <c r="E106" s="31">
        <v>1</v>
      </c>
      <c r="G106" s="17" t="s">
        <v>461</v>
      </c>
      <c r="H106" s="31">
        <v>10</v>
      </c>
    </row>
    <row r="107" spans="1:8" x14ac:dyDescent="0.25">
      <c r="D107" s="18" t="s">
        <v>8</v>
      </c>
      <c r="E107" s="31">
        <v>2</v>
      </c>
      <c r="G107" s="17" t="s">
        <v>280</v>
      </c>
      <c r="H107" s="31">
        <v>45</v>
      </c>
    </row>
    <row r="108" spans="1:8" x14ac:dyDescent="0.25">
      <c r="D108" s="17" t="s">
        <v>10</v>
      </c>
      <c r="E108" s="31"/>
    </row>
    <row r="109" spans="1:8" x14ac:dyDescent="0.25">
      <c r="D109" s="18" t="s">
        <v>18</v>
      </c>
      <c r="E109" s="31">
        <v>3</v>
      </c>
    </row>
    <row r="110" spans="1:8" x14ac:dyDescent="0.25">
      <c r="D110" s="18" t="s">
        <v>13</v>
      </c>
      <c r="E110" s="31">
        <v>5</v>
      </c>
      <c r="G110" s="17" t="s">
        <v>436</v>
      </c>
    </row>
    <row r="111" spans="1:8" x14ac:dyDescent="0.25">
      <c r="D111" s="18" t="s">
        <v>11</v>
      </c>
      <c r="E111" s="31">
        <v>2</v>
      </c>
      <c r="G111" s="16" t="s">
        <v>279</v>
      </c>
      <c r="H111" t="s">
        <v>281</v>
      </c>
    </row>
    <row r="112" spans="1:8" x14ac:dyDescent="0.25">
      <c r="D112" s="18" t="s">
        <v>17</v>
      </c>
      <c r="E112" s="31">
        <v>1</v>
      </c>
      <c r="G112" s="17" t="s">
        <v>257</v>
      </c>
      <c r="H112" s="31">
        <v>9</v>
      </c>
    </row>
    <row r="113" spans="4:8" x14ac:dyDescent="0.25">
      <c r="D113" s="18" t="s">
        <v>8</v>
      </c>
      <c r="E113" s="31">
        <v>2</v>
      </c>
      <c r="G113" s="17" t="s">
        <v>260</v>
      </c>
      <c r="H113" s="31">
        <v>16</v>
      </c>
    </row>
    <row r="114" spans="4:8" x14ac:dyDescent="0.25">
      <c r="D114" s="17" t="s">
        <v>19</v>
      </c>
      <c r="E114" s="31"/>
      <c r="G114" s="17" t="s">
        <v>264</v>
      </c>
      <c r="H114" s="31">
        <v>7</v>
      </c>
    </row>
    <row r="115" spans="4:8" x14ac:dyDescent="0.25">
      <c r="D115" s="18" t="s">
        <v>18</v>
      </c>
      <c r="E115" s="31">
        <v>3</v>
      </c>
      <c r="G115" s="17" t="s">
        <v>266</v>
      </c>
      <c r="H115" s="31">
        <v>3</v>
      </c>
    </row>
    <row r="116" spans="4:8" x14ac:dyDescent="0.25">
      <c r="D116" s="18" t="s">
        <v>13</v>
      </c>
      <c r="E116" s="31">
        <v>4</v>
      </c>
      <c r="G116" s="17" t="s">
        <v>269</v>
      </c>
      <c r="H116" s="31">
        <v>10</v>
      </c>
    </row>
    <row r="117" spans="4:8" x14ac:dyDescent="0.25">
      <c r="D117" s="18" t="s">
        <v>11</v>
      </c>
      <c r="E117" s="31">
        <v>3</v>
      </c>
      <c r="G117" s="17" t="s">
        <v>280</v>
      </c>
      <c r="H117" s="31">
        <v>45</v>
      </c>
    </row>
    <row r="118" spans="4:8" x14ac:dyDescent="0.25">
      <c r="D118" s="18" t="s">
        <v>17</v>
      </c>
      <c r="E118" s="31">
        <v>1</v>
      </c>
    </row>
    <row r="119" spans="4:8" x14ac:dyDescent="0.25">
      <c r="D119" s="18" t="s">
        <v>8</v>
      </c>
      <c r="E119" s="31">
        <v>6</v>
      </c>
    </row>
    <row r="120" spans="4:8" x14ac:dyDescent="0.25">
      <c r="D120" s="17" t="s">
        <v>280</v>
      </c>
      <c r="E120" s="31">
        <v>45</v>
      </c>
    </row>
  </sheetData>
  <sheetProtection sheet="1" objects="1" scenarios="1" pivotTables="0"/>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2A0CE-6209-4BF6-A802-B3B005592547}">
  <sheetPr codeName="Sheet9"/>
  <dimension ref="A3:AI16"/>
  <sheetViews>
    <sheetView topLeftCell="W1" workbookViewId="0">
      <selection activeCell="AH5" sqref="AH5"/>
    </sheetView>
  </sheetViews>
  <sheetFormatPr defaultRowHeight="15" x14ac:dyDescent="0.25"/>
  <cols>
    <col min="1" max="1" width="20.5703125" bestFit="1" customWidth="1"/>
    <col min="2" max="2" width="16.85546875" bestFit="1" customWidth="1"/>
    <col min="3" max="3" width="6.140625" bestFit="1" customWidth="1"/>
    <col min="4" max="4" width="5.42578125" bestFit="1" customWidth="1"/>
    <col min="5" max="5" width="11.28515625" bestFit="1" customWidth="1"/>
    <col min="22" max="22" width="20.5703125" bestFit="1" customWidth="1"/>
    <col min="23" max="23" width="19.140625" bestFit="1" customWidth="1"/>
    <col min="25" max="25" width="13.42578125" bestFit="1" customWidth="1"/>
    <col min="26" max="26" width="19.140625" bestFit="1" customWidth="1"/>
    <col min="28" max="28" width="16.7109375" bestFit="1" customWidth="1"/>
    <col min="29" max="29" width="19.140625" bestFit="1" customWidth="1"/>
    <col min="31" max="31" width="20.5703125" bestFit="1" customWidth="1"/>
    <col min="32" max="32" width="19.140625" bestFit="1" customWidth="1"/>
    <col min="34" max="34" width="13.42578125" bestFit="1" customWidth="1"/>
    <col min="35" max="35" width="19.140625" bestFit="1" customWidth="1"/>
  </cols>
  <sheetData>
    <row r="3" spans="1:35" x14ac:dyDescent="0.25">
      <c r="A3" s="16" t="s">
        <v>444</v>
      </c>
      <c r="B3" s="16" t="s">
        <v>283</v>
      </c>
      <c r="V3" s="16" t="s">
        <v>279</v>
      </c>
      <c r="W3" t="s">
        <v>444</v>
      </c>
      <c r="Y3" s="16" t="s">
        <v>279</v>
      </c>
      <c r="Z3" t="s">
        <v>444</v>
      </c>
      <c r="AB3" s="16" t="s">
        <v>279</v>
      </c>
      <c r="AC3" t="s">
        <v>444</v>
      </c>
      <c r="AE3" s="16" t="s">
        <v>279</v>
      </c>
      <c r="AF3" t="s">
        <v>444</v>
      </c>
      <c r="AH3" s="16" t="s">
        <v>279</v>
      </c>
      <c r="AI3" t="s">
        <v>444</v>
      </c>
    </row>
    <row r="4" spans="1:35" x14ac:dyDescent="0.25">
      <c r="A4" s="16" t="s">
        <v>279</v>
      </c>
      <c r="B4" t="s">
        <v>21</v>
      </c>
      <c r="C4" t="s">
        <v>10</v>
      </c>
      <c r="D4" t="s">
        <v>19</v>
      </c>
      <c r="E4" t="s">
        <v>280</v>
      </c>
      <c r="V4" s="17" t="s">
        <v>12</v>
      </c>
      <c r="W4" s="31">
        <v>3</v>
      </c>
      <c r="Y4" s="17" t="s">
        <v>12</v>
      </c>
      <c r="Z4" s="31">
        <v>3</v>
      </c>
      <c r="AB4" s="17" t="s">
        <v>230</v>
      </c>
      <c r="AC4" s="31">
        <v>3</v>
      </c>
      <c r="AE4" s="17" t="s">
        <v>21</v>
      </c>
      <c r="AF4" s="31">
        <v>8</v>
      </c>
      <c r="AH4" s="17" t="s">
        <v>21</v>
      </c>
      <c r="AI4" s="31">
        <v>8</v>
      </c>
    </row>
    <row r="5" spans="1:35" x14ac:dyDescent="0.25">
      <c r="A5" s="17" t="s">
        <v>12</v>
      </c>
      <c r="B5" s="31">
        <v>1</v>
      </c>
      <c r="C5" s="31">
        <v>1</v>
      </c>
      <c r="D5" s="31">
        <v>1</v>
      </c>
      <c r="E5" s="31">
        <v>3</v>
      </c>
      <c r="V5" s="18" t="s">
        <v>230</v>
      </c>
      <c r="W5" s="31">
        <v>3</v>
      </c>
      <c r="Y5" s="17" t="s">
        <v>232</v>
      </c>
      <c r="Z5" s="31">
        <v>17</v>
      </c>
      <c r="AB5" s="17" t="s">
        <v>231</v>
      </c>
      <c r="AC5" s="31">
        <v>1</v>
      </c>
      <c r="AE5" s="18" t="s">
        <v>230</v>
      </c>
      <c r="AF5" s="31">
        <v>1</v>
      </c>
      <c r="AH5" s="17" t="s">
        <v>10</v>
      </c>
      <c r="AI5" s="31">
        <v>7</v>
      </c>
    </row>
    <row r="6" spans="1:35" x14ac:dyDescent="0.25">
      <c r="A6" s="18" t="s">
        <v>230</v>
      </c>
      <c r="B6" s="31">
        <v>1</v>
      </c>
      <c r="C6" s="31">
        <v>1</v>
      </c>
      <c r="D6" s="31">
        <v>1</v>
      </c>
      <c r="E6" s="31">
        <v>3</v>
      </c>
      <c r="V6" s="17" t="s">
        <v>232</v>
      </c>
      <c r="W6" s="31">
        <v>17</v>
      </c>
      <c r="Y6" s="17" t="s">
        <v>280</v>
      </c>
      <c r="Z6" s="31">
        <v>20</v>
      </c>
      <c r="AB6" s="17" t="s">
        <v>233</v>
      </c>
      <c r="AC6" s="31">
        <v>2</v>
      </c>
      <c r="AE6" s="18" t="s">
        <v>233</v>
      </c>
      <c r="AF6" s="31">
        <v>1</v>
      </c>
      <c r="AH6" s="17" t="s">
        <v>19</v>
      </c>
      <c r="AI6" s="31">
        <v>5</v>
      </c>
    </row>
    <row r="7" spans="1:35" x14ac:dyDescent="0.25">
      <c r="A7" s="17" t="s">
        <v>232</v>
      </c>
      <c r="B7" s="31">
        <v>7</v>
      </c>
      <c r="C7" s="31">
        <v>6</v>
      </c>
      <c r="D7" s="31">
        <v>4</v>
      </c>
      <c r="E7" s="31">
        <v>17</v>
      </c>
      <c r="V7" s="18" t="s">
        <v>231</v>
      </c>
      <c r="W7" s="31">
        <v>1</v>
      </c>
      <c r="AB7" s="17" t="s">
        <v>234</v>
      </c>
      <c r="AC7" s="31">
        <v>14</v>
      </c>
      <c r="AE7" s="18" t="s">
        <v>234</v>
      </c>
      <c r="AF7" s="31">
        <v>6</v>
      </c>
      <c r="AH7" s="17" t="s">
        <v>280</v>
      </c>
      <c r="AI7" s="31">
        <v>20</v>
      </c>
    </row>
    <row r="8" spans="1:35" x14ac:dyDescent="0.25">
      <c r="A8" s="18" t="s">
        <v>231</v>
      </c>
      <c r="B8" s="31">
        <v>0</v>
      </c>
      <c r="C8" s="31">
        <v>1</v>
      </c>
      <c r="D8" s="31">
        <v>0</v>
      </c>
      <c r="E8" s="31">
        <v>1</v>
      </c>
      <c r="V8" s="18" t="s">
        <v>233</v>
      </c>
      <c r="W8" s="31">
        <v>2</v>
      </c>
      <c r="AB8" s="17" t="s">
        <v>280</v>
      </c>
      <c r="AC8" s="31">
        <v>20</v>
      </c>
      <c r="AE8" s="17" t="s">
        <v>10</v>
      </c>
      <c r="AF8" s="31">
        <v>7</v>
      </c>
    </row>
    <row r="9" spans="1:35" x14ac:dyDescent="0.25">
      <c r="A9" s="18" t="s">
        <v>233</v>
      </c>
      <c r="B9" s="31">
        <v>1</v>
      </c>
      <c r="C9" s="31">
        <v>1</v>
      </c>
      <c r="D9" s="31">
        <v>0</v>
      </c>
      <c r="E9" s="31">
        <v>2</v>
      </c>
      <c r="V9" s="18" t="s">
        <v>234</v>
      </c>
      <c r="W9" s="31">
        <v>14</v>
      </c>
      <c r="AE9" s="18" t="s">
        <v>230</v>
      </c>
      <c r="AF9" s="31">
        <v>1</v>
      </c>
    </row>
    <row r="10" spans="1:35" x14ac:dyDescent="0.25">
      <c r="A10" s="18" t="s">
        <v>234</v>
      </c>
      <c r="B10" s="31">
        <v>6</v>
      </c>
      <c r="C10" s="31">
        <v>4</v>
      </c>
      <c r="D10" s="31">
        <v>4</v>
      </c>
      <c r="E10" s="31">
        <v>14</v>
      </c>
      <c r="V10" s="17" t="s">
        <v>280</v>
      </c>
      <c r="W10" s="31">
        <v>20</v>
      </c>
      <c r="AE10" s="18" t="s">
        <v>231</v>
      </c>
      <c r="AF10" s="31">
        <v>1</v>
      </c>
    </row>
    <row r="11" spans="1:35" x14ac:dyDescent="0.25">
      <c r="A11" s="17" t="s">
        <v>280</v>
      </c>
      <c r="B11" s="31">
        <v>8</v>
      </c>
      <c r="C11" s="31">
        <v>7</v>
      </c>
      <c r="D11" s="31">
        <v>5</v>
      </c>
      <c r="E11" s="31">
        <v>20</v>
      </c>
      <c r="AE11" s="18" t="s">
        <v>233</v>
      </c>
      <c r="AF11" s="31">
        <v>1</v>
      </c>
    </row>
    <row r="12" spans="1:35" x14ac:dyDescent="0.25">
      <c r="AE12" s="18" t="s">
        <v>234</v>
      </c>
      <c r="AF12" s="31">
        <v>4</v>
      </c>
    </row>
    <row r="13" spans="1:35" x14ac:dyDescent="0.25">
      <c r="AE13" s="17" t="s">
        <v>19</v>
      </c>
      <c r="AF13" s="31">
        <v>5</v>
      </c>
    </row>
    <row r="14" spans="1:35" x14ac:dyDescent="0.25">
      <c r="AE14" s="18" t="s">
        <v>230</v>
      </c>
      <c r="AF14" s="31">
        <v>1</v>
      </c>
    </row>
    <row r="15" spans="1:35" x14ac:dyDescent="0.25">
      <c r="AE15" s="18" t="s">
        <v>234</v>
      </c>
      <c r="AF15" s="31">
        <v>4</v>
      </c>
    </row>
    <row r="16" spans="1:35" x14ac:dyDescent="0.25">
      <c r="AE16" s="17" t="s">
        <v>280</v>
      </c>
      <c r="AF16" s="31">
        <v>20</v>
      </c>
    </row>
  </sheetData>
  <sheetProtection sheet="1" objects="1" scenarios="1"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9C20C-B7A2-47E8-8F98-A3557F273C1C}">
  <sheetPr codeName="Sheet2"/>
  <dimension ref="A1:H10"/>
  <sheetViews>
    <sheetView workbookViewId="0">
      <selection sqref="A1:H3"/>
    </sheetView>
  </sheetViews>
  <sheetFormatPr defaultRowHeight="15" x14ac:dyDescent="0.25"/>
  <cols>
    <col min="1" max="1" width="16.7109375" bestFit="1" customWidth="1"/>
    <col min="2" max="2" width="14.42578125" bestFit="1" customWidth="1"/>
    <col min="3" max="3" width="10.5703125" bestFit="1" customWidth="1"/>
    <col min="4" max="4" width="9.28515625" bestFit="1" customWidth="1"/>
    <col min="5" max="5" width="39.5703125" bestFit="1" customWidth="1"/>
    <col min="6" max="6" width="18" bestFit="1" customWidth="1"/>
    <col min="7" max="7" width="11.5703125" bestFit="1" customWidth="1"/>
    <col min="8" max="8" width="8.85546875" bestFit="1" customWidth="1"/>
  </cols>
  <sheetData>
    <row r="1" spans="1:8" x14ac:dyDescent="0.25">
      <c r="A1" t="s">
        <v>229</v>
      </c>
      <c r="B1" t="s">
        <v>226</v>
      </c>
      <c r="C1" t="s">
        <v>1</v>
      </c>
      <c r="D1" t="s">
        <v>2</v>
      </c>
      <c r="E1" t="s">
        <v>3</v>
      </c>
      <c r="F1" t="s">
        <v>4</v>
      </c>
      <c r="G1" t="s">
        <v>5</v>
      </c>
      <c r="H1" t="s">
        <v>7</v>
      </c>
    </row>
    <row r="2" spans="1:8" x14ac:dyDescent="0.25">
      <c r="A2" t="s">
        <v>230</v>
      </c>
      <c r="B2">
        <v>1</v>
      </c>
      <c r="C2" t="s">
        <v>12</v>
      </c>
      <c r="D2" t="s">
        <v>10</v>
      </c>
      <c r="E2" t="s">
        <v>14</v>
      </c>
      <c r="F2" t="s">
        <v>15</v>
      </c>
      <c r="G2" s="1"/>
      <c r="H2" t="s">
        <v>16</v>
      </c>
    </row>
    <row r="3" spans="1:8" x14ac:dyDescent="0.25">
      <c r="A3" t="s">
        <v>231</v>
      </c>
      <c r="B3">
        <v>1</v>
      </c>
      <c r="C3" t="s">
        <v>232</v>
      </c>
      <c r="D3" t="s">
        <v>10</v>
      </c>
      <c r="E3" t="s">
        <v>14</v>
      </c>
      <c r="F3" t="s">
        <v>15</v>
      </c>
      <c r="G3" s="1"/>
      <c r="H3" t="s">
        <v>16</v>
      </c>
    </row>
    <row r="4" spans="1:8" x14ac:dyDescent="0.25">
      <c r="A4" t="s">
        <v>233</v>
      </c>
      <c r="B4">
        <v>1</v>
      </c>
      <c r="C4" t="s">
        <v>232</v>
      </c>
      <c r="D4" t="s">
        <v>10</v>
      </c>
      <c r="E4" t="s">
        <v>14</v>
      </c>
      <c r="F4" t="s">
        <v>15</v>
      </c>
      <c r="G4" s="1"/>
      <c r="H4" t="s">
        <v>16</v>
      </c>
    </row>
    <row r="5" spans="1:8" x14ac:dyDescent="0.25">
      <c r="A5" t="s">
        <v>234</v>
      </c>
      <c r="B5">
        <v>4</v>
      </c>
      <c r="C5" t="s">
        <v>232</v>
      </c>
      <c r="D5" t="s">
        <v>10</v>
      </c>
      <c r="E5" t="s">
        <v>14</v>
      </c>
      <c r="F5" t="s">
        <v>15</v>
      </c>
      <c r="G5" s="1"/>
      <c r="H5" t="s">
        <v>16</v>
      </c>
    </row>
    <row r="6" spans="1:8" x14ac:dyDescent="0.25">
      <c r="A6" t="s">
        <v>230</v>
      </c>
      <c r="B6">
        <v>1</v>
      </c>
      <c r="C6" t="s">
        <v>12</v>
      </c>
      <c r="D6" t="s">
        <v>19</v>
      </c>
      <c r="E6" t="s">
        <v>20</v>
      </c>
      <c r="F6" t="s">
        <v>15</v>
      </c>
      <c r="G6" s="1"/>
      <c r="H6" t="s">
        <v>16</v>
      </c>
    </row>
    <row r="7" spans="1:8" x14ac:dyDescent="0.25">
      <c r="A7" t="s">
        <v>234</v>
      </c>
      <c r="B7">
        <v>4</v>
      </c>
      <c r="C7" t="s">
        <v>232</v>
      </c>
      <c r="D7" t="s">
        <v>19</v>
      </c>
      <c r="E7" t="s">
        <v>20</v>
      </c>
      <c r="F7" t="s">
        <v>15</v>
      </c>
      <c r="G7" s="1"/>
      <c r="H7" t="s">
        <v>16</v>
      </c>
    </row>
    <row r="8" spans="1:8" x14ac:dyDescent="0.25">
      <c r="A8" t="s">
        <v>230</v>
      </c>
      <c r="B8">
        <v>1</v>
      </c>
      <c r="C8" t="s">
        <v>12</v>
      </c>
      <c r="D8" t="s">
        <v>21</v>
      </c>
      <c r="E8" t="s">
        <v>22</v>
      </c>
      <c r="F8" t="s">
        <v>15</v>
      </c>
      <c r="G8" s="1"/>
      <c r="H8" t="s">
        <v>16</v>
      </c>
    </row>
    <row r="9" spans="1:8" x14ac:dyDescent="0.25">
      <c r="A9" t="s">
        <v>233</v>
      </c>
      <c r="B9">
        <v>1</v>
      </c>
      <c r="C9" t="s">
        <v>232</v>
      </c>
      <c r="D9" t="s">
        <v>21</v>
      </c>
      <c r="E9" t="s">
        <v>22</v>
      </c>
      <c r="F9" t="s">
        <v>15</v>
      </c>
      <c r="G9" s="1"/>
      <c r="H9" t="s">
        <v>16</v>
      </c>
    </row>
    <row r="10" spans="1:8" x14ac:dyDescent="0.25">
      <c r="A10" t="s">
        <v>234</v>
      </c>
      <c r="B10">
        <v>6</v>
      </c>
      <c r="C10" t="s">
        <v>232</v>
      </c>
      <c r="D10" t="s">
        <v>21</v>
      </c>
      <c r="E10" t="s">
        <v>22</v>
      </c>
      <c r="F10" t="s">
        <v>15</v>
      </c>
      <c r="G10" s="1"/>
      <c r="H10" t="s">
        <v>16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16711-879A-4E25-801E-6CE3D2CA041A}">
  <sheetPr codeName="Sheet3"/>
  <dimension ref="A1:N16"/>
  <sheetViews>
    <sheetView workbookViewId="0">
      <selection activeCell="A2" sqref="A2"/>
    </sheetView>
  </sheetViews>
  <sheetFormatPr defaultRowHeight="15" x14ac:dyDescent="0.25"/>
  <cols>
    <col min="1" max="1" width="12.7109375" bestFit="1" customWidth="1"/>
    <col min="2" max="2" width="12.140625" bestFit="1" customWidth="1"/>
    <col min="3" max="3" width="10.5703125" bestFit="1" customWidth="1"/>
    <col min="4" max="4" width="9.28515625" bestFit="1" customWidth="1"/>
    <col min="5" max="5" width="39.5703125" bestFit="1" customWidth="1"/>
    <col min="6" max="6" width="18" bestFit="1" customWidth="1"/>
    <col min="7" max="8" width="15.5703125" bestFit="1" customWidth="1"/>
    <col min="9" max="9" width="8.85546875" bestFit="1" customWidth="1"/>
    <col min="10" max="10" width="36.42578125" bestFit="1" customWidth="1"/>
    <col min="11" max="11" width="19.5703125" bestFit="1" customWidth="1"/>
    <col min="12" max="12" width="15.28515625" bestFit="1" customWidth="1"/>
    <col min="13" max="13" width="8.140625" bestFit="1" customWidth="1"/>
    <col min="14" max="14" width="12.7109375" bestFit="1" customWidth="1"/>
  </cols>
  <sheetData>
    <row r="1" spans="1:14" x14ac:dyDescent="0.25">
      <c r="A1" t="s">
        <v>227</v>
      </c>
      <c r="B1" t="s">
        <v>0</v>
      </c>
      <c r="C1" t="s">
        <v>1</v>
      </c>
      <c r="D1" t="s">
        <v>2</v>
      </c>
      <c r="E1" t="s">
        <v>3</v>
      </c>
      <c r="F1" t="s">
        <v>4</v>
      </c>
      <c r="G1" t="s">
        <v>5</v>
      </c>
      <c r="H1" t="s">
        <v>6</v>
      </c>
      <c r="I1" t="s">
        <v>7</v>
      </c>
      <c r="J1" t="s">
        <v>228</v>
      </c>
      <c r="K1" t="s">
        <v>29</v>
      </c>
      <c r="L1" t="s">
        <v>236</v>
      </c>
      <c r="M1" t="s">
        <v>237</v>
      </c>
      <c r="N1" t="s">
        <v>432</v>
      </c>
    </row>
    <row r="2" spans="1:14" x14ac:dyDescent="0.25">
      <c r="A2" t="s">
        <v>13</v>
      </c>
      <c r="B2">
        <v>5</v>
      </c>
      <c r="C2" t="s">
        <v>12</v>
      </c>
      <c r="D2" t="s">
        <v>10</v>
      </c>
      <c r="E2" t="s">
        <v>14</v>
      </c>
      <c r="F2" t="s">
        <v>15</v>
      </c>
      <c r="G2" s="1">
        <v>46052.434876250001</v>
      </c>
      <c r="H2" s="1">
        <v>46052.434984363426</v>
      </c>
      <c r="I2" t="s">
        <v>16</v>
      </c>
      <c r="J2"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1.4.3 - Contrast (minimum) - 9.1.4.3</v>
      </c>
      <c r="K2" t="str">
        <f>INDEX(Standard[GuidelineId],MATCH(compliance[[#This Row],[criterionId]],Standard[Κριτήριο WCAG],0))  &amp; " - "  &amp; INDEX(Standard[Guideline],MATCH(compliance[[#This Row],[criterionId]],Standard[Κριτήριο WCAG],0))</f>
        <v>1.4 - Distinguishable</v>
      </c>
      <c r="L2" t="str">
        <f>INDEX(Standard[Principle],MATCH(compliance[[#This Row],[criterionId]],Standard[Κριτήριο WCAG],0))</f>
        <v>Perceivable</v>
      </c>
      <c r="M2" t="str">
        <f>INDEX(Standard[Επίπεδο Συμμόρφωσης],MATCH(compliance[[#This Row],[criterionId]],Standard[Κριτήριο WCAG],0))</f>
        <v>AA</v>
      </c>
      <c r="N2" t="str">
        <f>INDEX(Standard[GuidelineId],MATCH(compliance[[#This Row],[criterionId]],Standard[Κριτήριο WCAG],0))</f>
        <v>1.4</v>
      </c>
    </row>
    <row r="3" spans="1:14" x14ac:dyDescent="0.25">
      <c r="A3" t="s">
        <v>17</v>
      </c>
      <c r="B3">
        <v>1</v>
      </c>
      <c r="C3" t="s">
        <v>12</v>
      </c>
      <c r="D3" t="s">
        <v>10</v>
      </c>
      <c r="E3" t="s">
        <v>14</v>
      </c>
      <c r="F3" t="s">
        <v>15</v>
      </c>
      <c r="G3" s="1">
        <v>46052.434876250001</v>
      </c>
      <c r="H3" s="1">
        <v>46052.434984363426</v>
      </c>
      <c r="I3" t="s">
        <v>16</v>
      </c>
      <c r="J3"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3.1.1 - Language of page - 9.3.1.1</v>
      </c>
      <c r="K3" t="str">
        <f>INDEX(Standard[GuidelineId],MATCH(compliance[[#This Row],[criterionId]],Standard[Κριτήριο WCAG],0))  &amp; " - "  &amp; INDEX(Standard[Guideline],MATCH(compliance[[#This Row],[criterionId]],Standard[Κριτήριο WCAG],0))</f>
        <v>3.1 - Readable</v>
      </c>
      <c r="L3" t="str">
        <f>INDEX(Standard[Principle],MATCH(compliance[[#This Row],[criterionId]],Standard[Κριτήριο WCAG],0))</f>
        <v>Understandable</v>
      </c>
      <c r="M3" t="str">
        <f>INDEX(Standard[Επίπεδο Συμμόρφωσης],MATCH(compliance[[#This Row],[criterionId]],Standard[Κριτήριο WCAG],0))</f>
        <v>A</v>
      </c>
      <c r="N3" t="str">
        <f>INDEX(Standard[GuidelineId],MATCH(compliance[[#This Row],[criterionId]],Standard[Κριτήριο WCAG],0))</f>
        <v>3.1</v>
      </c>
    </row>
    <row r="4" spans="1:14" x14ac:dyDescent="0.25">
      <c r="A4" t="s">
        <v>18</v>
      </c>
      <c r="B4">
        <v>3</v>
      </c>
      <c r="C4" t="s">
        <v>9</v>
      </c>
      <c r="D4" t="s">
        <v>10</v>
      </c>
      <c r="E4" t="s">
        <v>14</v>
      </c>
      <c r="F4" t="s">
        <v>15</v>
      </c>
      <c r="G4" s="1">
        <v>46052.434876250001</v>
      </c>
      <c r="H4" s="1">
        <v>46052.434984363426</v>
      </c>
      <c r="I4" t="s">
        <v>16</v>
      </c>
      <c r="J4"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1.1.1 - Non-text content - 9.1.1.1</v>
      </c>
      <c r="K4" t="str">
        <f>INDEX(Standard[GuidelineId],MATCH(compliance[[#This Row],[criterionId]],Standard[Κριτήριο WCAG],0))  &amp; " - "  &amp; INDEX(Standard[Guideline],MATCH(compliance[[#This Row],[criterionId]],Standard[Κριτήριο WCAG],0))</f>
        <v>1.1 - Text Alternatives</v>
      </c>
      <c r="L4" t="str">
        <f>INDEX(Standard[Principle],MATCH(compliance[[#This Row],[criterionId]],Standard[Κριτήριο WCAG],0))</f>
        <v>Perceivable</v>
      </c>
      <c r="M4" t="str">
        <f>INDEX(Standard[Επίπεδο Συμμόρφωσης],MATCH(compliance[[#This Row],[criterionId]],Standard[Κριτήριο WCAG],0))</f>
        <v>A</v>
      </c>
      <c r="N4" t="str">
        <f>INDEX(Standard[GuidelineId],MATCH(compliance[[#This Row],[criterionId]],Standard[Κριτήριο WCAG],0))</f>
        <v>1.1</v>
      </c>
    </row>
    <row r="5" spans="1:14" x14ac:dyDescent="0.25">
      <c r="A5" t="s">
        <v>11</v>
      </c>
      <c r="B5">
        <v>2</v>
      </c>
      <c r="C5" t="s">
        <v>12</v>
      </c>
      <c r="D5" t="s">
        <v>10</v>
      </c>
      <c r="E5" t="s">
        <v>14</v>
      </c>
      <c r="F5" t="s">
        <v>15</v>
      </c>
      <c r="G5" s="1">
        <v>46052.434876250001</v>
      </c>
      <c r="H5" s="1">
        <v>46052.434984363426</v>
      </c>
      <c r="I5" t="s">
        <v>16</v>
      </c>
      <c r="J5"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2.4.4 - Link purpose (in context) - 9.2.4.4</v>
      </c>
      <c r="K5" t="str">
        <f>INDEX(Standard[GuidelineId],MATCH(compliance[[#This Row],[criterionId]],Standard[Κριτήριο WCAG],0))  &amp; " - "  &amp; INDEX(Standard[Guideline],MATCH(compliance[[#This Row],[criterionId]],Standard[Κριτήριο WCAG],0))</f>
        <v>2.4 - Navigable</v>
      </c>
      <c r="L5" t="str">
        <f>INDEX(Standard[Principle],MATCH(compliance[[#This Row],[criterionId]],Standard[Κριτήριο WCAG],0))</f>
        <v>Operable</v>
      </c>
      <c r="M5" t="str">
        <f>INDEX(Standard[Επίπεδο Συμμόρφωσης],MATCH(compliance[[#This Row],[criterionId]],Standard[Κριτήριο WCAG],0))</f>
        <v>A</v>
      </c>
      <c r="N5" t="str">
        <f>INDEX(Standard[GuidelineId],MATCH(compliance[[#This Row],[criterionId]],Standard[Κριτήριο WCAG],0))</f>
        <v>2.4</v>
      </c>
    </row>
    <row r="6" spans="1:14" x14ac:dyDescent="0.25">
      <c r="A6" t="s">
        <v>8</v>
      </c>
      <c r="B6">
        <v>2</v>
      </c>
      <c r="C6" t="s">
        <v>12</v>
      </c>
      <c r="D6" t="s">
        <v>10</v>
      </c>
      <c r="E6" t="s">
        <v>14</v>
      </c>
      <c r="F6" t="s">
        <v>15</v>
      </c>
      <c r="G6" s="1">
        <v>46052.434876250001</v>
      </c>
      <c r="H6" s="1">
        <v>46052.434984363426</v>
      </c>
      <c r="I6" t="s">
        <v>16</v>
      </c>
      <c r="J6"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4.1.2 - Name, role, value - 9.4.1.2</v>
      </c>
      <c r="K6" t="str">
        <f>INDEX(Standard[GuidelineId],MATCH(compliance[[#This Row],[criterionId]],Standard[Κριτήριο WCAG],0))  &amp; " - "  &amp; INDEX(Standard[Guideline],MATCH(compliance[[#This Row],[criterionId]],Standard[Κριτήριο WCAG],0))</f>
        <v>4.1 - Compatible</v>
      </c>
      <c r="L6" t="str">
        <f>INDEX(Standard[Principle],MATCH(compliance[[#This Row],[criterionId]],Standard[Κριτήριο WCAG],0))</f>
        <v>Robust</v>
      </c>
      <c r="M6" t="str">
        <f>INDEX(Standard[Επίπεδο Συμμόρφωσης],MATCH(compliance[[#This Row],[criterionId]],Standard[Κριτήριο WCAG],0))</f>
        <v>A</v>
      </c>
      <c r="N6" t="str">
        <f>INDEX(Standard[GuidelineId],MATCH(compliance[[#This Row],[criterionId]],Standard[Κριτήριο WCAG],0))</f>
        <v>4.1</v>
      </c>
    </row>
    <row r="7" spans="1:14" x14ac:dyDescent="0.25">
      <c r="A7" t="s">
        <v>13</v>
      </c>
      <c r="B7">
        <v>4</v>
      </c>
      <c r="C7" t="s">
        <v>12</v>
      </c>
      <c r="D7" t="s">
        <v>19</v>
      </c>
      <c r="E7" t="s">
        <v>20</v>
      </c>
      <c r="F7" t="s">
        <v>15</v>
      </c>
      <c r="G7" s="1">
        <v>46052.434876250001</v>
      </c>
      <c r="H7" s="1">
        <v>46052.434984363426</v>
      </c>
      <c r="I7" t="s">
        <v>16</v>
      </c>
      <c r="J7"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1.4.3 - Contrast (minimum) - 9.1.4.3</v>
      </c>
      <c r="K7" t="str">
        <f>INDEX(Standard[GuidelineId],MATCH(compliance[[#This Row],[criterionId]],Standard[Κριτήριο WCAG],0))  &amp; " - "  &amp; INDEX(Standard[Guideline],MATCH(compliance[[#This Row],[criterionId]],Standard[Κριτήριο WCAG],0))</f>
        <v>1.4 - Distinguishable</v>
      </c>
      <c r="L7" t="str">
        <f>INDEX(Standard[Principle],MATCH(compliance[[#This Row],[criterionId]],Standard[Κριτήριο WCAG],0))</f>
        <v>Perceivable</v>
      </c>
      <c r="M7" t="str">
        <f>INDEX(Standard[Επίπεδο Συμμόρφωσης],MATCH(compliance[[#This Row],[criterionId]],Standard[Κριτήριο WCAG],0))</f>
        <v>AA</v>
      </c>
      <c r="N7" t="str">
        <f>INDEX(Standard[GuidelineId],MATCH(compliance[[#This Row],[criterionId]],Standard[Κριτήριο WCAG],0))</f>
        <v>1.4</v>
      </c>
    </row>
    <row r="8" spans="1:14" x14ac:dyDescent="0.25">
      <c r="A8" t="s">
        <v>17</v>
      </c>
      <c r="B8">
        <v>1</v>
      </c>
      <c r="C8" t="s">
        <v>12</v>
      </c>
      <c r="D8" t="s">
        <v>19</v>
      </c>
      <c r="E8" t="s">
        <v>20</v>
      </c>
      <c r="F8" t="s">
        <v>15</v>
      </c>
      <c r="G8" s="1">
        <v>46052.434876250001</v>
      </c>
      <c r="H8" s="1">
        <v>46052.434984363426</v>
      </c>
      <c r="I8" t="s">
        <v>16</v>
      </c>
      <c r="J8"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3.1.1 - Language of page - 9.3.1.1</v>
      </c>
      <c r="K8" t="str">
        <f>INDEX(Standard[GuidelineId],MATCH(compliance[[#This Row],[criterionId]],Standard[Κριτήριο WCAG],0))  &amp; " - "  &amp; INDEX(Standard[Guideline],MATCH(compliance[[#This Row],[criterionId]],Standard[Κριτήριο WCAG],0))</f>
        <v>3.1 - Readable</v>
      </c>
      <c r="L8" t="str">
        <f>INDEX(Standard[Principle],MATCH(compliance[[#This Row],[criterionId]],Standard[Κριτήριο WCAG],0))</f>
        <v>Understandable</v>
      </c>
      <c r="M8" t="str">
        <f>INDEX(Standard[Επίπεδο Συμμόρφωσης],MATCH(compliance[[#This Row],[criterionId]],Standard[Κριτήριο WCAG],0))</f>
        <v>A</v>
      </c>
      <c r="N8" t="str">
        <f>INDEX(Standard[GuidelineId],MATCH(compliance[[#This Row],[criterionId]],Standard[Κριτήριο WCAG],0))</f>
        <v>3.1</v>
      </c>
    </row>
    <row r="9" spans="1:14" x14ac:dyDescent="0.25">
      <c r="A9" t="s">
        <v>18</v>
      </c>
      <c r="B9">
        <v>3</v>
      </c>
      <c r="C9" t="s">
        <v>9</v>
      </c>
      <c r="D9" t="s">
        <v>19</v>
      </c>
      <c r="E9" t="s">
        <v>20</v>
      </c>
      <c r="F9" t="s">
        <v>15</v>
      </c>
      <c r="G9" s="1">
        <v>46052.434876250001</v>
      </c>
      <c r="H9" s="1">
        <v>46052.434984363426</v>
      </c>
      <c r="I9" t="s">
        <v>16</v>
      </c>
      <c r="J9"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1.1.1 - Non-text content - 9.1.1.1</v>
      </c>
      <c r="K9" t="str">
        <f>INDEX(Standard[GuidelineId],MATCH(compliance[[#This Row],[criterionId]],Standard[Κριτήριο WCAG],0))  &amp; " - "  &amp; INDEX(Standard[Guideline],MATCH(compliance[[#This Row],[criterionId]],Standard[Κριτήριο WCAG],0))</f>
        <v>1.1 - Text Alternatives</v>
      </c>
      <c r="L9" t="str">
        <f>INDEX(Standard[Principle],MATCH(compliance[[#This Row],[criterionId]],Standard[Κριτήριο WCAG],0))</f>
        <v>Perceivable</v>
      </c>
      <c r="M9" t="str">
        <f>INDEX(Standard[Επίπεδο Συμμόρφωσης],MATCH(compliance[[#This Row],[criterionId]],Standard[Κριτήριο WCAG],0))</f>
        <v>A</v>
      </c>
      <c r="N9" t="str">
        <f>INDEX(Standard[GuidelineId],MATCH(compliance[[#This Row],[criterionId]],Standard[Κριτήριο WCAG],0))</f>
        <v>1.1</v>
      </c>
    </row>
    <row r="10" spans="1:14" x14ac:dyDescent="0.25">
      <c r="A10" t="s">
        <v>8</v>
      </c>
      <c r="B10">
        <v>6</v>
      </c>
      <c r="C10" t="s">
        <v>9</v>
      </c>
      <c r="D10" t="s">
        <v>19</v>
      </c>
      <c r="E10" t="s">
        <v>20</v>
      </c>
      <c r="F10" t="s">
        <v>15</v>
      </c>
      <c r="G10" s="1">
        <v>46052.434876250001</v>
      </c>
      <c r="H10" s="1">
        <v>46052.434984363426</v>
      </c>
      <c r="I10" t="s">
        <v>16</v>
      </c>
      <c r="J10"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4.1.2 - Name, role, value - 9.4.1.2</v>
      </c>
      <c r="K10" t="str">
        <f>INDEX(Standard[GuidelineId],MATCH(compliance[[#This Row],[criterionId]],Standard[Κριτήριο WCAG],0))  &amp; " - "  &amp; INDEX(Standard[Guideline],MATCH(compliance[[#This Row],[criterionId]],Standard[Κριτήριο WCAG],0))</f>
        <v>4.1 - Compatible</v>
      </c>
      <c r="L10" t="str">
        <f>INDEX(Standard[Principle],MATCH(compliance[[#This Row],[criterionId]],Standard[Κριτήριο WCAG],0))</f>
        <v>Robust</v>
      </c>
      <c r="M10" t="str">
        <f>INDEX(Standard[Επίπεδο Συμμόρφωσης],MATCH(compliance[[#This Row],[criterionId]],Standard[Κριτήριο WCAG],0))</f>
        <v>A</v>
      </c>
      <c r="N10" t="str">
        <f>INDEX(Standard[GuidelineId],MATCH(compliance[[#This Row],[criterionId]],Standard[Κριτήριο WCAG],0))</f>
        <v>4.1</v>
      </c>
    </row>
    <row r="11" spans="1:14" x14ac:dyDescent="0.25">
      <c r="A11" t="s">
        <v>11</v>
      </c>
      <c r="B11">
        <v>3</v>
      </c>
      <c r="C11" t="s">
        <v>12</v>
      </c>
      <c r="D11" t="s">
        <v>19</v>
      </c>
      <c r="E11" t="s">
        <v>20</v>
      </c>
      <c r="F11" t="s">
        <v>15</v>
      </c>
      <c r="G11" s="1">
        <v>46052.434876250001</v>
      </c>
      <c r="H11" s="1">
        <v>46052.434984363426</v>
      </c>
      <c r="I11" t="s">
        <v>16</v>
      </c>
      <c r="J11"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2.4.4 - Link purpose (in context) - 9.2.4.4</v>
      </c>
      <c r="K11" t="str">
        <f>INDEX(Standard[GuidelineId],MATCH(compliance[[#This Row],[criterionId]],Standard[Κριτήριο WCAG],0))  &amp; " - "  &amp; INDEX(Standard[Guideline],MATCH(compliance[[#This Row],[criterionId]],Standard[Κριτήριο WCAG],0))</f>
        <v>2.4 - Navigable</v>
      </c>
      <c r="L11" t="str">
        <f>INDEX(Standard[Principle],MATCH(compliance[[#This Row],[criterionId]],Standard[Κριτήριο WCAG],0))</f>
        <v>Operable</v>
      </c>
      <c r="M11" t="str">
        <f>INDEX(Standard[Επίπεδο Συμμόρφωσης],MATCH(compliance[[#This Row],[criterionId]],Standard[Κριτήριο WCAG],0))</f>
        <v>A</v>
      </c>
      <c r="N11" t="str">
        <f>INDEX(Standard[GuidelineId],MATCH(compliance[[#This Row],[criterionId]],Standard[Κριτήριο WCAG],0))</f>
        <v>2.4</v>
      </c>
    </row>
    <row r="12" spans="1:14" x14ac:dyDescent="0.25">
      <c r="A12" t="s">
        <v>13</v>
      </c>
      <c r="B12">
        <v>7</v>
      </c>
      <c r="C12" t="s">
        <v>12</v>
      </c>
      <c r="D12" t="s">
        <v>21</v>
      </c>
      <c r="E12" t="s">
        <v>22</v>
      </c>
      <c r="F12" t="s">
        <v>15</v>
      </c>
      <c r="G12" s="1">
        <v>46052.434876250001</v>
      </c>
      <c r="H12" s="1">
        <v>46052.434984363426</v>
      </c>
      <c r="I12" t="s">
        <v>16</v>
      </c>
      <c r="J12"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1.4.3 - Contrast (minimum) - 9.1.4.3</v>
      </c>
      <c r="K12" t="str">
        <f>INDEX(Standard[GuidelineId],MATCH(compliance[[#This Row],[criterionId]],Standard[Κριτήριο WCAG],0))  &amp; " - "  &amp; INDEX(Standard[Guideline],MATCH(compliance[[#This Row],[criterionId]],Standard[Κριτήριο WCAG],0))</f>
        <v>1.4 - Distinguishable</v>
      </c>
      <c r="L12" t="str">
        <f>INDEX(Standard[Principle],MATCH(compliance[[#This Row],[criterionId]],Standard[Κριτήριο WCAG],0))</f>
        <v>Perceivable</v>
      </c>
      <c r="M12" t="str">
        <f>INDEX(Standard[Επίπεδο Συμμόρφωσης],MATCH(compliance[[#This Row],[criterionId]],Standard[Κριτήριο WCAG],0))</f>
        <v>AA</v>
      </c>
      <c r="N12" t="str">
        <f>INDEX(Standard[GuidelineId],MATCH(compliance[[#This Row],[criterionId]],Standard[Κριτήριο WCAG],0))</f>
        <v>1.4</v>
      </c>
    </row>
    <row r="13" spans="1:14" x14ac:dyDescent="0.25">
      <c r="A13" t="s">
        <v>17</v>
      </c>
      <c r="B13">
        <v>1</v>
      </c>
      <c r="C13" t="s">
        <v>12</v>
      </c>
      <c r="D13" t="s">
        <v>21</v>
      </c>
      <c r="E13" t="s">
        <v>22</v>
      </c>
      <c r="F13" t="s">
        <v>15</v>
      </c>
      <c r="G13" s="1">
        <v>46052.434876250001</v>
      </c>
      <c r="H13" s="1">
        <v>46052.434984363426</v>
      </c>
      <c r="I13" t="s">
        <v>16</v>
      </c>
      <c r="J13"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3.1.1 - Language of page - 9.3.1.1</v>
      </c>
      <c r="K13" t="str">
        <f>INDEX(Standard[GuidelineId],MATCH(compliance[[#This Row],[criterionId]],Standard[Κριτήριο WCAG],0))  &amp; " - "  &amp; INDEX(Standard[Guideline],MATCH(compliance[[#This Row],[criterionId]],Standard[Κριτήριο WCAG],0))</f>
        <v>3.1 - Readable</v>
      </c>
      <c r="L13" t="str">
        <f>INDEX(Standard[Principle],MATCH(compliance[[#This Row],[criterionId]],Standard[Κριτήριο WCAG],0))</f>
        <v>Understandable</v>
      </c>
      <c r="M13" t="str">
        <f>INDEX(Standard[Επίπεδο Συμμόρφωσης],MATCH(compliance[[#This Row],[criterionId]],Standard[Κριτήριο WCAG],0))</f>
        <v>A</v>
      </c>
      <c r="N13" t="str">
        <f>INDEX(Standard[GuidelineId],MATCH(compliance[[#This Row],[criterionId]],Standard[Κριτήριο WCAG],0))</f>
        <v>3.1</v>
      </c>
    </row>
    <row r="14" spans="1:14" x14ac:dyDescent="0.25">
      <c r="A14" t="s">
        <v>18</v>
      </c>
      <c r="B14">
        <v>3</v>
      </c>
      <c r="C14" t="s">
        <v>9</v>
      </c>
      <c r="D14" t="s">
        <v>21</v>
      </c>
      <c r="E14" t="s">
        <v>22</v>
      </c>
      <c r="F14" t="s">
        <v>15</v>
      </c>
      <c r="G14" s="1">
        <v>46052.434876250001</v>
      </c>
      <c r="H14" s="1">
        <v>46052.434984363426</v>
      </c>
      <c r="I14" t="s">
        <v>16</v>
      </c>
      <c r="J14"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1.1.1 - Non-text content - 9.1.1.1</v>
      </c>
      <c r="K14" t="str">
        <f>INDEX(Standard[GuidelineId],MATCH(compliance[[#This Row],[criterionId]],Standard[Κριτήριο WCAG],0))  &amp; " - "  &amp; INDEX(Standard[Guideline],MATCH(compliance[[#This Row],[criterionId]],Standard[Κριτήριο WCAG],0))</f>
        <v>1.1 - Text Alternatives</v>
      </c>
      <c r="L14" t="str">
        <f>INDEX(Standard[Principle],MATCH(compliance[[#This Row],[criterionId]],Standard[Κριτήριο WCAG],0))</f>
        <v>Perceivable</v>
      </c>
      <c r="M14" t="str">
        <f>INDEX(Standard[Επίπεδο Συμμόρφωσης],MATCH(compliance[[#This Row],[criterionId]],Standard[Κριτήριο WCAG],0))</f>
        <v>A</v>
      </c>
      <c r="N14" t="str">
        <f>INDEX(Standard[GuidelineId],MATCH(compliance[[#This Row],[criterionId]],Standard[Κριτήριο WCAG],0))</f>
        <v>1.1</v>
      </c>
    </row>
    <row r="15" spans="1:14" x14ac:dyDescent="0.25">
      <c r="A15" t="s">
        <v>11</v>
      </c>
      <c r="B15">
        <v>2</v>
      </c>
      <c r="C15" t="s">
        <v>12</v>
      </c>
      <c r="D15" t="s">
        <v>21</v>
      </c>
      <c r="E15" t="s">
        <v>22</v>
      </c>
      <c r="F15" t="s">
        <v>15</v>
      </c>
      <c r="G15" s="1">
        <v>46052.434876250001</v>
      </c>
      <c r="H15" s="1">
        <v>46052.434984363426</v>
      </c>
      <c r="I15" t="s">
        <v>16</v>
      </c>
      <c r="J15"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2.4.4 - Link purpose (in context) - 9.2.4.4</v>
      </c>
      <c r="K15" t="str">
        <f>INDEX(Standard[GuidelineId],MATCH(compliance[[#This Row],[criterionId]],Standard[Κριτήριο WCAG],0))  &amp; " - "  &amp; INDEX(Standard[Guideline],MATCH(compliance[[#This Row],[criterionId]],Standard[Κριτήριο WCAG],0))</f>
        <v>2.4 - Navigable</v>
      </c>
      <c r="L15" t="str">
        <f>INDEX(Standard[Principle],MATCH(compliance[[#This Row],[criterionId]],Standard[Κριτήριο WCAG],0))</f>
        <v>Operable</v>
      </c>
      <c r="M15" t="str">
        <f>INDEX(Standard[Επίπεδο Συμμόρφωσης],MATCH(compliance[[#This Row],[criterionId]],Standard[Κριτήριο WCAG],0))</f>
        <v>A</v>
      </c>
      <c r="N15" t="str">
        <f>INDEX(Standard[GuidelineId],MATCH(compliance[[#This Row],[criterionId]],Standard[Κριτήριο WCAG],0))</f>
        <v>2.4</v>
      </c>
    </row>
    <row r="16" spans="1:14" x14ac:dyDescent="0.25">
      <c r="A16" t="s">
        <v>8</v>
      </c>
      <c r="B16">
        <v>2</v>
      </c>
      <c r="C16" t="s">
        <v>12</v>
      </c>
      <c r="D16" t="s">
        <v>21</v>
      </c>
      <c r="E16" t="s">
        <v>22</v>
      </c>
      <c r="F16" t="s">
        <v>15</v>
      </c>
      <c r="G16" s="1">
        <v>46052.434876250001</v>
      </c>
      <c r="H16" s="1">
        <v>46052.434984363426</v>
      </c>
      <c r="I16" t="s">
        <v>16</v>
      </c>
      <c r="J16" t="str">
        <f>compliance[[#This Row],[criterionId]] &amp; " - "  &amp; INDEX(Standard[Περιγραφή Ρήτρας],MATCH(compliance[[#This Row],[criterionId]],Standard[Κριτήριο WCAG],0)) &amp; " - "  &amp; INDEX(Standard[Ρήτρα Ευρωπαϊκού Πρότυπου],MATCH(compliance[[#This Row],[criterionId]],Standard[Κριτήριο WCAG],0))</f>
        <v>4.1.2 - Name, role, value - 9.4.1.2</v>
      </c>
      <c r="K16" t="str">
        <f>INDEX(Standard[GuidelineId],MATCH(compliance[[#This Row],[criterionId]],Standard[Κριτήριο WCAG],0))  &amp; " - "  &amp; INDEX(Standard[Guideline],MATCH(compliance[[#This Row],[criterionId]],Standard[Κριτήριο WCAG],0))</f>
        <v>4.1 - Compatible</v>
      </c>
      <c r="L16" t="str">
        <f>INDEX(Standard[Principle],MATCH(compliance[[#This Row],[criterionId]],Standard[Κριτήριο WCAG],0))</f>
        <v>Robust</v>
      </c>
      <c r="M16" t="str">
        <f>INDEX(Standard[Επίπεδο Συμμόρφωσης],MATCH(compliance[[#This Row],[criterionId]],Standard[Κριτήριο WCAG],0))</f>
        <v>A</v>
      </c>
      <c r="N16" t="str">
        <f>INDEX(Standard[GuidelineId],MATCH(compliance[[#This Row],[criterionId]],Standard[Κριτήριο WCAG],0))</f>
        <v>4.1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129C-C2D7-41FF-8D69-E03BF79B3770}">
  <sheetPr codeName="Sheet4"/>
  <dimension ref="A1:M59"/>
  <sheetViews>
    <sheetView workbookViewId="0">
      <selection sqref="A1:M5"/>
    </sheetView>
  </sheetViews>
  <sheetFormatPr defaultRowHeight="15" x14ac:dyDescent="0.25"/>
  <cols>
    <col min="1" max="1" width="38.42578125" bestFit="1" customWidth="1"/>
    <col min="2" max="2" width="16.7109375" bestFit="1" customWidth="1"/>
    <col min="3" max="3" width="81.140625" bestFit="1" customWidth="1"/>
    <col min="4" max="4" width="51" bestFit="1" customWidth="1"/>
    <col min="5" max="5" width="9.42578125" bestFit="1" customWidth="1"/>
    <col min="6" max="6" width="13.85546875" bestFit="1" customWidth="1"/>
    <col min="7" max="7" width="23.5703125" bestFit="1" customWidth="1"/>
    <col min="8" max="8" width="9.28515625" bestFit="1" customWidth="1"/>
    <col min="9" max="9" width="39.5703125" bestFit="1" customWidth="1"/>
    <col min="10" max="10" width="81.140625" bestFit="1" customWidth="1"/>
    <col min="11" max="11" width="18" bestFit="1" customWidth="1"/>
    <col min="12" max="12" width="15.5703125" bestFit="1" customWidth="1"/>
    <col min="13" max="13" width="8.85546875" bestFit="1" customWidth="1"/>
  </cols>
  <sheetData>
    <row r="1" spans="1:13" x14ac:dyDescent="0.25">
      <c r="A1" t="s">
        <v>284</v>
      </c>
      <c r="B1" t="s">
        <v>229</v>
      </c>
      <c r="C1" t="s">
        <v>285</v>
      </c>
      <c r="D1" t="s">
        <v>286</v>
      </c>
      <c r="E1" t="s">
        <v>287</v>
      </c>
      <c r="F1" t="s">
        <v>288</v>
      </c>
      <c r="G1" t="s">
        <v>289</v>
      </c>
      <c r="H1" t="s">
        <v>2</v>
      </c>
      <c r="I1" t="s">
        <v>3</v>
      </c>
      <c r="J1" t="s">
        <v>290</v>
      </c>
      <c r="K1" t="s">
        <v>4</v>
      </c>
      <c r="L1" t="s">
        <v>5</v>
      </c>
      <c r="M1" t="s">
        <v>7</v>
      </c>
    </row>
    <row r="2" spans="1:13" x14ac:dyDescent="0.25">
      <c r="A2" t="s">
        <v>291</v>
      </c>
      <c r="B2" t="s">
        <v>230</v>
      </c>
      <c r="C2" t="s">
        <v>292</v>
      </c>
      <c r="D2" t="s">
        <v>293</v>
      </c>
      <c r="E2" t="s">
        <v>294</v>
      </c>
      <c r="F2" t="s">
        <v>295</v>
      </c>
      <c r="G2" t="s">
        <v>296</v>
      </c>
      <c r="H2" t="s">
        <v>10</v>
      </c>
      <c r="I2" t="s">
        <v>14</v>
      </c>
      <c r="J2" t="s">
        <v>297</v>
      </c>
      <c r="K2" t="s">
        <v>15</v>
      </c>
      <c r="L2" s="1">
        <v>46052.434876250001</v>
      </c>
      <c r="M2" t="s">
        <v>16</v>
      </c>
    </row>
    <row r="3" spans="1:13" x14ac:dyDescent="0.25">
      <c r="A3" t="s">
        <v>298</v>
      </c>
      <c r="B3" t="s">
        <v>299</v>
      </c>
      <c r="C3" t="s">
        <v>300</v>
      </c>
      <c r="D3" t="s">
        <v>301</v>
      </c>
      <c r="E3" t="s">
        <v>294</v>
      </c>
      <c r="F3" t="s">
        <v>295</v>
      </c>
      <c r="G3" t="s">
        <v>296</v>
      </c>
      <c r="H3" t="s">
        <v>10</v>
      </c>
      <c r="I3" t="s">
        <v>14</v>
      </c>
      <c r="J3" t="s">
        <v>302</v>
      </c>
      <c r="K3" t="s">
        <v>15</v>
      </c>
      <c r="L3" s="1">
        <v>46052.434876250001</v>
      </c>
      <c r="M3" t="s">
        <v>16</v>
      </c>
    </row>
    <row r="4" spans="1:13" x14ac:dyDescent="0.25">
      <c r="A4" t="s">
        <v>303</v>
      </c>
      <c r="B4" t="s">
        <v>299</v>
      </c>
      <c r="C4" t="s">
        <v>300</v>
      </c>
      <c r="D4" t="s">
        <v>304</v>
      </c>
      <c r="E4" t="s">
        <v>294</v>
      </c>
      <c r="F4" t="s">
        <v>295</v>
      </c>
      <c r="G4" t="s">
        <v>296</v>
      </c>
      <c r="H4" t="s">
        <v>10</v>
      </c>
      <c r="I4" t="s">
        <v>14</v>
      </c>
      <c r="J4" t="s">
        <v>302</v>
      </c>
      <c r="K4" t="s">
        <v>15</v>
      </c>
      <c r="L4" s="1">
        <v>46052.434876250001</v>
      </c>
      <c r="M4" t="s">
        <v>16</v>
      </c>
    </row>
    <row r="5" spans="1:13" x14ac:dyDescent="0.25">
      <c r="A5" t="s">
        <v>305</v>
      </c>
      <c r="B5" t="s">
        <v>299</v>
      </c>
      <c r="C5" t="s">
        <v>300</v>
      </c>
      <c r="D5" t="s">
        <v>306</v>
      </c>
      <c r="E5" t="s">
        <v>294</v>
      </c>
      <c r="F5" t="s">
        <v>295</v>
      </c>
      <c r="G5" t="s">
        <v>296</v>
      </c>
      <c r="H5" t="s">
        <v>10</v>
      </c>
      <c r="I5" t="s">
        <v>14</v>
      </c>
      <c r="J5" t="s">
        <v>302</v>
      </c>
      <c r="K5" t="s">
        <v>15</v>
      </c>
      <c r="L5" s="1">
        <v>46052.434876250001</v>
      </c>
      <c r="M5" t="s">
        <v>16</v>
      </c>
    </row>
    <row r="6" spans="1:13" x14ac:dyDescent="0.25">
      <c r="A6" t="s">
        <v>307</v>
      </c>
      <c r="B6" t="s">
        <v>299</v>
      </c>
      <c r="C6" t="s">
        <v>300</v>
      </c>
      <c r="D6" t="s">
        <v>308</v>
      </c>
      <c r="E6" t="s">
        <v>294</v>
      </c>
      <c r="F6" t="s">
        <v>295</v>
      </c>
      <c r="G6" t="s">
        <v>296</v>
      </c>
      <c r="H6" t="s">
        <v>10</v>
      </c>
      <c r="I6" t="s">
        <v>14</v>
      </c>
      <c r="J6" t="s">
        <v>302</v>
      </c>
      <c r="K6" t="s">
        <v>15</v>
      </c>
      <c r="L6" s="1">
        <v>46052.434876250001</v>
      </c>
      <c r="M6" t="s">
        <v>16</v>
      </c>
    </row>
    <row r="7" spans="1:13" x14ac:dyDescent="0.25">
      <c r="A7" t="s">
        <v>309</v>
      </c>
      <c r="B7" t="s">
        <v>299</v>
      </c>
      <c r="C7" t="s">
        <v>300</v>
      </c>
      <c r="D7" t="s">
        <v>310</v>
      </c>
      <c r="E7" t="s">
        <v>294</v>
      </c>
      <c r="F7" t="s">
        <v>295</v>
      </c>
      <c r="G7" t="s">
        <v>296</v>
      </c>
      <c r="H7" t="s">
        <v>10</v>
      </c>
      <c r="I7" t="s">
        <v>14</v>
      </c>
      <c r="J7" t="s">
        <v>302</v>
      </c>
      <c r="K7" t="s">
        <v>15</v>
      </c>
      <c r="L7" s="1">
        <v>46052.434876250001</v>
      </c>
      <c r="M7" t="s">
        <v>16</v>
      </c>
    </row>
    <row r="8" spans="1:13" x14ac:dyDescent="0.25">
      <c r="A8" t="s">
        <v>311</v>
      </c>
      <c r="B8" t="s">
        <v>231</v>
      </c>
      <c r="C8" t="s">
        <v>312</v>
      </c>
      <c r="D8" t="s">
        <v>313</v>
      </c>
      <c r="E8" t="s">
        <v>314</v>
      </c>
      <c r="F8" t="s">
        <v>295</v>
      </c>
      <c r="G8" t="s">
        <v>296</v>
      </c>
      <c r="H8" t="s">
        <v>10</v>
      </c>
      <c r="I8" t="s">
        <v>14</v>
      </c>
      <c r="J8" t="s">
        <v>315</v>
      </c>
      <c r="K8" t="s">
        <v>15</v>
      </c>
      <c r="L8" s="1">
        <v>46052.434876250001</v>
      </c>
      <c r="M8" t="s">
        <v>16</v>
      </c>
    </row>
    <row r="9" spans="1:13" x14ac:dyDescent="0.25">
      <c r="A9" t="s">
        <v>316</v>
      </c>
      <c r="B9" t="s">
        <v>317</v>
      </c>
      <c r="C9" t="s">
        <v>318</v>
      </c>
      <c r="D9" t="s">
        <v>319</v>
      </c>
      <c r="E9" t="s">
        <v>294</v>
      </c>
      <c r="F9" t="s">
        <v>295</v>
      </c>
      <c r="G9" t="s">
        <v>296</v>
      </c>
      <c r="H9" t="s">
        <v>10</v>
      </c>
      <c r="I9" t="s">
        <v>14</v>
      </c>
      <c r="J9" t="s">
        <v>320</v>
      </c>
      <c r="K9" t="s">
        <v>15</v>
      </c>
      <c r="L9" s="1">
        <v>46052.434876250001</v>
      </c>
      <c r="M9" t="s">
        <v>16</v>
      </c>
    </row>
    <row r="10" spans="1:13" x14ac:dyDescent="0.25">
      <c r="A10" t="s">
        <v>321</v>
      </c>
      <c r="B10" t="s">
        <v>322</v>
      </c>
      <c r="C10" t="s">
        <v>323</v>
      </c>
      <c r="D10" t="s">
        <v>324</v>
      </c>
      <c r="E10" t="s">
        <v>9</v>
      </c>
      <c r="F10" t="s">
        <v>295</v>
      </c>
      <c r="G10" t="s">
        <v>296</v>
      </c>
      <c r="H10" t="s">
        <v>10</v>
      </c>
      <c r="I10" t="s">
        <v>14</v>
      </c>
      <c r="J10" t="s">
        <v>325</v>
      </c>
      <c r="K10" t="s">
        <v>15</v>
      </c>
      <c r="L10" s="1">
        <v>46052.434876250001</v>
      </c>
      <c r="M10" t="s">
        <v>16</v>
      </c>
    </row>
    <row r="11" spans="1:13" x14ac:dyDescent="0.25">
      <c r="A11" t="s">
        <v>326</v>
      </c>
      <c r="B11" t="s">
        <v>322</v>
      </c>
      <c r="C11" t="s">
        <v>323</v>
      </c>
      <c r="D11" t="s">
        <v>327</v>
      </c>
      <c r="E11" t="s">
        <v>9</v>
      </c>
      <c r="F11" t="s">
        <v>295</v>
      </c>
      <c r="G11" t="s">
        <v>296</v>
      </c>
      <c r="H11" t="s">
        <v>10</v>
      </c>
      <c r="I11" t="s">
        <v>14</v>
      </c>
      <c r="J11" t="s">
        <v>325</v>
      </c>
      <c r="K11" t="s">
        <v>15</v>
      </c>
      <c r="L11" s="1">
        <v>46052.434876250001</v>
      </c>
      <c r="M11" t="s">
        <v>16</v>
      </c>
    </row>
    <row r="12" spans="1:13" x14ac:dyDescent="0.25">
      <c r="A12" t="s">
        <v>328</v>
      </c>
      <c r="B12" t="s">
        <v>322</v>
      </c>
      <c r="C12" t="s">
        <v>323</v>
      </c>
      <c r="D12" t="s">
        <v>329</v>
      </c>
      <c r="E12" t="s">
        <v>9</v>
      </c>
      <c r="F12" t="s">
        <v>295</v>
      </c>
      <c r="G12" t="s">
        <v>296</v>
      </c>
      <c r="H12" t="s">
        <v>10</v>
      </c>
      <c r="I12" t="s">
        <v>14</v>
      </c>
      <c r="J12" t="s">
        <v>325</v>
      </c>
      <c r="K12" t="s">
        <v>15</v>
      </c>
      <c r="L12" s="1">
        <v>46052.434876250001</v>
      </c>
      <c r="M12" t="s">
        <v>16</v>
      </c>
    </row>
    <row r="13" spans="1:13" x14ac:dyDescent="0.25">
      <c r="A13" t="s">
        <v>330</v>
      </c>
      <c r="B13" t="s">
        <v>233</v>
      </c>
      <c r="C13" t="s">
        <v>331</v>
      </c>
      <c r="D13" t="s">
        <v>332</v>
      </c>
      <c r="E13" t="s">
        <v>314</v>
      </c>
      <c r="F13" t="s">
        <v>295</v>
      </c>
      <c r="G13" t="s">
        <v>296</v>
      </c>
      <c r="H13" t="s">
        <v>10</v>
      </c>
      <c r="I13" t="s">
        <v>14</v>
      </c>
      <c r="J13" t="s">
        <v>315</v>
      </c>
      <c r="K13" t="s">
        <v>15</v>
      </c>
      <c r="L13" s="1">
        <v>46052.434876250001</v>
      </c>
      <c r="M13" t="s">
        <v>16</v>
      </c>
    </row>
    <row r="14" spans="1:13" x14ac:dyDescent="0.25">
      <c r="A14" t="s">
        <v>333</v>
      </c>
      <c r="B14" t="s">
        <v>334</v>
      </c>
      <c r="C14" t="s">
        <v>335</v>
      </c>
      <c r="D14" t="s">
        <v>336</v>
      </c>
      <c r="E14" t="s">
        <v>294</v>
      </c>
      <c r="F14" t="s">
        <v>295</v>
      </c>
      <c r="G14" t="s">
        <v>296</v>
      </c>
      <c r="H14" t="s">
        <v>10</v>
      </c>
      <c r="I14" t="s">
        <v>14</v>
      </c>
      <c r="J14" t="s">
        <v>337</v>
      </c>
      <c r="K14" t="s">
        <v>15</v>
      </c>
      <c r="L14" s="1">
        <v>46052.434876250001</v>
      </c>
      <c r="M14" t="s">
        <v>16</v>
      </c>
    </row>
    <row r="15" spans="1:13" x14ac:dyDescent="0.25">
      <c r="A15" t="s">
        <v>338</v>
      </c>
      <c r="B15" t="s">
        <v>334</v>
      </c>
      <c r="C15" t="s">
        <v>335</v>
      </c>
      <c r="D15" t="s">
        <v>339</v>
      </c>
      <c r="E15" t="s">
        <v>294</v>
      </c>
      <c r="F15" t="s">
        <v>295</v>
      </c>
      <c r="G15" t="s">
        <v>296</v>
      </c>
      <c r="H15" t="s">
        <v>10</v>
      </c>
      <c r="I15" t="s">
        <v>14</v>
      </c>
      <c r="J15" t="s">
        <v>337</v>
      </c>
      <c r="K15" t="s">
        <v>15</v>
      </c>
      <c r="L15" s="1">
        <v>46052.434876250001</v>
      </c>
      <c r="M15" t="s">
        <v>16</v>
      </c>
    </row>
    <row r="16" spans="1:13" x14ac:dyDescent="0.25">
      <c r="A16" t="s">
        <v>340</v>
      </c>
      <c r="B16" t="s">
        <v>234</v>
      </c>
      <c r="C16" t="s">
        <v>341</v>
      </c>
      <c r="D16" t="s">
        <v>342</v>
      </c>
      <c r="E16" t="s">
        <v>314</v>
      </c>
      <c r="F16" t="s">
        <v>295</v>
      </c>
      <c r="G16" t="s">
        <v>296</v>
      </c>
      <c r="H16" t="s">
        <v>10</v>
      </c>
      <c r="I16" t="s">
        <v>14</v>
      </c>
      <c r="J16" t="s">
        <v>343</v>
      </c>
      <c r="K16" t="s">
        <v>15</v>
      </c>
      <c r="L16" s="1">
        <v>46052.434876250001</v>
      </c>
      <c r="M16" t="s">
        <v>16</v>
      </c>
    </row>
    <row r="17" spans="1:13" x14ac:dyDescent="0.25">
      <c r="A17" t="s">
        <v>344</v>
      </c>
      <c r="B17" t="s">
        <v>234</v>
      </c>
      <c r="C17" t="s">
        <v>341</v>
      </c>
      <c r="D17" t="s">
        <v>345</v>
      </c>
      <c r="E17" t="s">
        <v>314</v>
      </c>
      <c r="F17" t="s">
        <v>295</v>
      </c>
      <c r="G17" t="s">
        <v>296</v>
      </c>
      <c r="H17" t="s">
        <v>10</v>
      </c>
      <c r="I17" t="s">
        <v>14</v>
      </c>
      <c r="J17" t="s">
        <v>343</v>
      </c>
      <c r="K17" t="s">
        <v>15</v>
      </c>
      <c r="L17" s="1">
        <v>46052.434876250001</v>
      </c>
      <c r="M17" t="s">
        <v>16</v>
      </c>
    </row>
    <row r="18" spans="1:13" x14ac:dyDescent="0.25">
      <c r="A18" t="s">
        <v>346</v>
      </c>
      <c r="B18" t="s">
        <v>234</v>
      </c>
      <c r="C18" t="s">
        <v>341</v>
      </c>
      <c r="D18" t="s">
        <v>347</v>
      </c>
      <c r="E18" t="s">
        <v>314</v>
      </c>
      <c r="F18" t="s">
        <v>295</v>
      </c>
      <c r="G18" t="s">
        <v>296</v>
      </c>
      <c r="H18" t="s">
        <v>10</v>
      </c>
      <c r="I18" t="s">
        <v>14</v>
      </c>
      <c r="J18" t="s">
        <v>343</v>
      </c>
      <c r="K18" t="s">
        <v>15</v>
      </c>
      <c r="L18" s="1">
        <v>46052.434876250001</v>
      </c>
      <c r="M18" t="s">
        <v>16</v>
      </c>
    </row>
    <row r="19" spans="1:13" x14ac:dyDescent="0.25">
      <c r="A19" t="s">
        <v>348</v>
      </c>
      <c r="B19" t="s">
        <v>234</v>
      </c>
      <c r="C19" t="s">
        <v>341</v>
      </c>
      <c r="D19" t="s">
        <v>349</v>
      </c>
      <c r="E19" t="s">
        <v>314</v>
      </c>
      <c r="F19" t="s">
        <v>295</v>
      </c>
      <c r="G19" t="s">
        <v>296</v>
      </c>
      <c r="H19" t="s">
        <v>10</v>
      </c>
      <c r="I19" t="s">
        <v>14</v>
      </c>
      <c r="J19" t="s">
        <v>343</v>
      </c>
      <c r="K19" t="s">
        <v>15</v>
      </c>
      <c r="L19" s="1">
        <v>46052.434876250001</v>
      </c>
      <c r="M19" t="s">
        <v>16</v>
      </c>
    </row>
    <row r="20" spans="1:13" x14ac:dyDescent="0.25">
      <c r="A20" t="s">
        <v>350</v>
      </c>
      <c r="B20" t="s">
        <v>230</v>
      </c>
      <c r="C20" t="s">
        <v>292</v>
      </c>
      <c r="D20" t="s">
        <v>293</v>
      </c>
      <c r="E20" t="s">
        <v>294</v>
      </c>
      <c r="F20" t="s">
        <v>295</v>
      </c>
      <c r="G20" t="s">
        <v>351</v>
      </c>
      <c r="H20" t="s">
        <v>19</v>
      </c>
      <c r="I20" t="s">
        <v>20</v>
      </c>
      <c r="J20" t="s">
        <v>297</v>
      </c>
      <c r="K20" t="s">
        <v>15</v>
      </c>
      <c r="L20" s="1">
        <v>46052.434876250001</v>
      </c>
      <c r="M20" t="s">
        <v>16</v>
      </c>
    </row>
    <row r="21" spans="1:13" x14ac:dyDescent="0.25">
      <c r="A21" t="s">
        <v>352</v>
      </c>
      <c r="B21" t="s">
        <v>299</v>
      </c>
      <c r="C21" t="s">
        <v>300</v>
      </c>
      <c r="D21" t="s">
        <v>304</v>
      </c>
      <c r="E21" t="s">
        <v>294</v>
      </c>
      <c r="F21" t="s">
        <v>295</v>
      </c>
      <c r="G21" t="s">
        <v>351</v>
      </c>
      <c r="H21" t="s">
        <v>19</v>
      </c>
      <c r="I21" t="s">
        <v>20</v>
      </c>
      <c r="J21" t="s">
        <v>302</v>
      </c>
      <c r="K21" t="s">
        <v>15</v>
      </c>
      <c r="L21" s="1">
        <v>46052.434876250001</v>
      </c>
      <c r="M21" t="s">
        <v>16</v>
      </c>
    </row>
    <row r="22" spans="1:13" x14ac:dyDescent="0.25">
      <c r="A22" t="s">
        <v>353</v>
      </c>
      <c r="B22" t="s">
        <v>299</v>
      </c>
      <c r="C22" t="s">
        <v>300</v>
      </c>
      <c r="D22" t="s">
        <v>306</v>
      </c>
      <c r="E22" t="s">
        <v>294</v>
      </c>
      <c r="F22" t="s">
        <v>295</v>
      </c>
      <c r="G22" t="s">
        <v>351</v>
      </c>
      <c r="H22" t="s">
        <v>19</v>
      </c>
      <c r="I22" t="s">
        <v>20</v>
      </c>
      <c r="J22" t="s">
        <v>302</v>
      </c>
      <c r="K22" t="s">
        <v>15</v>
      </c>
      <c r="L22" s="1">
        <v>46052.434876250001</v>
      </c>
      <c r="M22" t="s">
        <v>16</v>
      </c>
    </row>
    <row r="23" spans="1:13" x14ac:dyDescent="0.25">
      <c r="A23" t="s">
        <v>354</v>
      </c>
      <c r="B23" t="s">
        <v>299</v>
      </c>
      <c r="C23" t="s">
        <v>300</v>
      </c>
      <c r="D23" t="s">
        <v>355</v>
      </c>
      <c r="E23" t="s">
        <v>294</v>
      </c>
      <c r="F23" t="s">
        <v>295</v>
      </c>
      <c r="G23" t="s">
        <v>351</v>
      </c>
      <c r="H23" t="s">
        <v>19</v>
      </c>
      <c r="I23" t="s">
        <v>20</v>
      </c>
      <c r="J23" t="s">
        <v>302</v>
      </c>
      <c r="K23" t="s">
        <v>15</v>
      </c>
      <c r="L23" s="1">
        <v>46052.434876250001</v>
      </c>
      <c r="M23" t="s">
        <v>16</v>
      </c>
    </row>
    <row r="24" spans="1:13" x14ac:dyDescent="0.25">
      <c r="A24" t="s">
        <v>356</v>
      </c>
      <c r="B24" t="s">
        <v>299</v>
      </c>
      <c r="C24" t="s">
        <v>300</v>
      </c>
      <c r="D24" t="s">
        <v>357</v>
      </c>
      <c r="E24" t="s">
        <v>294</v>
      </c>
      <c r="F24" t="s">
        <v>295</v>
      </c>
      <c r="G24" t="s">
        <v>351</v>
      </c>
      <c r="H24" t="s">
        <v>19</v>
      </c>
      <c r="I24" t="s">
        <v>20</v>
      </c>
      <c r="J24" t="s">
        <v>302</v>
      </c>
      <c r="K24" t="s">
        <v>15</v>
      </c>
      <c r="L24" s="1">
        <v>46052.434876250001</v>
      </c>
      <c r="M24" t="s">
        <v>16</v>
      </c>
    </row>
    <row r="25" spans="1:13" x14ac:dyDescent="0.25">
      <c r="A25" t="s">
        <v>358</v>
      </c>
      <c r="B25" t="s">
        <v>317</v>
      </c>
      <c r="C25" t="s">
        <v>318</v>
      </c>
      <c r="D25" t="s">
        <v>319</v>
      </c>
      <c r="E25" t="s">
        <v>294</v>
      </c>
      <c r="F25" t="s">
        <v>295</v>
      </c>
      <c r="G25" t="s">
        <v>351</v>
      </c>
      <c r="H25" t="s">
        <v>19</v>
      </c>
      <c r="I25" t="s">
        <v>20</v>
      </c>
      <c r="J25" t="s">
        <v>320</v>
      </c>
      <c r="K25" t="s">
        <v>15</v>
      </c>
      <c r="L25" s="1">
        <v>46052.434876250001</v>
      </c>
      <c r="M25" t="s">
        <v>16</v>
      </c>
    </row>
    <row r="26" spans="1:13" x14ac:dyDescent="0.25">
      <c r="A26" t="s">
        <v>359</v>
      </c>
      <c r="B26" t="s">
        <v>322</v>
      </c>
      <c r="C26" t="s">
        <v>323</v>
      </c>
      <c r="D26" t="s">
        <v>360</v>
      </c>
      <c r="E26" t="s">
        <v>9</v>
      </c>
      <c r="F26" t="s">
        <v>295</v>
      </c>
      <c r="G26" t="s">
        <v>351</v>
      </c>
      <c r="H26" t="s">
        <v>19</v>
      </c>
      <c r="I26" t="s">
        <v>20</v>
      </c>
      <c r="J26" t="s">
        <v>325</v>
      </c>
      <c r="K26" t="s">
        <v>15</v>
      </c>
      <c r="L26" s="1">
        <v>46052.434876250001</v>
      </c>
      <c r="M26" t="s">
        <v>16</v>
      </c>
    </row>
    <row r="27" spans="1:13" x14ac:dyDescent="0.25">
      <c r="A27" t="s">
        <v>361</v>
      </c>
      <c r="B27" t="s">
        <v>322</v>
      </c>
      <c r="C27" t="s">
        <v>323</v>
      </c>
      <c r="D27" t="s">
        <v>327</v>
      </c>
      <c r="E27" t="s">
        <v>9</v>
      </c>
      <c r="F27" t="s">
        <v>295</v>
      </c>
      <c r="G27" t="s">
        <v>351</v>
      </c>
      <c r="H27" t="s">
        <v>19</v>
      </c>
      <c r="I27" t="s">
        <v>20</v>
      </c>
      <c r="J27" t="s">
        <v>325</v>
      </c>
      <c r="K27" t="s">
        <v>15</v>
      </c>
      <c r="L27" s="1">
        <v>46052.434876250001</v>
      </c>
      <c r="M27" t="s">
        <v>16</v>
      </c>
    </row>
    <row r="28" spans="1:13" x14ac:dyDescent="0.25">
      <c r="A28" t="s">
        <v>362</v>
      </c>
      <c r="B28" t="s">
        <v>322</v>
      </c>
      <c r="C28" t="s">
        <v>323</v>
      </c>
      <c r="D28" t="s">
        <v>363</v>
      </c>
      <c r="E28" t="s">
        <v>9</v>
      </c>
      <c r="F28" t="s">
        <v>295</v>
      </c>
      <c r="G28" t="s">
        <v>351</v>
      </c>
      <c r="H28" t="s">
        <v>19</v>
      </c>
      <c r="I28" t="s">
        <v>20</v>
      </c>
      <c r="J28" t="s">
        <v>325</v>
      </c>
      <c r="K28" t="s">
        <v>15</v>
      </c>
      <c r="L28" s="1">
        <v>46052.434876250001</v>
      </c>
      <c r="M28" t="s">
        <v>16</v>
      </c>
    </row>
    <row r="29" spans="1:13" x14ac:dyDescent="0.25">
      <c r="A29" t="s">
        <v>364</v>
      </c>
      <c r="B29" t="s">
        <v>365</v>
      </c>
      <c r="C29" t="s">
        <v>366</v>
      </c>
      <c r="D29" t="s">
        <v>367</v>
      </c>
      <c r="E29" t="s">
        <v>9</v>
      </c>
      <c r="F29" t="s">
        <v>295</v>
      </c>
      <c r="G29" t="s">
        <v>351</v>
      </c>
      <c r="H29" t="s">
        <v>19</v>
      </c>
      <c r="I29" t="s">
        <v>20</v>
      </c>
      <c r="J29" t="s">
        <v>368</v>
      </c>
      <c r="K29" t="s">
        <v>15</v>
      </c>
      <c r="L29" s="1">
        <v>46052.434876250001</v>
      </c>
      <c r="M29" t="s">
        <v>16</v>
      </c>
    </row>
    <row r="30" spans="1:13" x14ac:dyDescent="0.25">
      <c r="A30" t="s">
        <v>369</v>
      </c>
      <c r="B30" t="s">
        <v>365</v>
      </c>
      <c r="C30" t="s">
        <v>366</v>
      </c>
      <c r="D30" t="s">
        <v>370</v>
      </c>
      <c r="E30" t="s">
        <v>9</v>
      </c>
      <c r="F30" t="s">
        <v>295</v>
      </c>
      <c r="G30" t="s">
        <v>351</v>
      </c>
      <c r="H30" t="s">
        <v>19</v>
      </c>
      <c r="I30" t="s">
        <v>20</v>
      </c>
      <c r="J30" t="s">
        <v>368</v>
      </c>
      <c r="K30" t="s">
        <v>15</v>
      </c>
      <c r="L30" s="1">
        <v>46052.434876250001</v>
      </c>
      <c r="M30" t="s">
        <v>16</v>
      </c>
    </row>
    <row r="31" spans="1:13" x14ac:dyDescent="0.25">
      <c r="A31" t="s">
        <v>371</v>
      </c>
      <c r="B31" t="s">
        <v>365</v>
      </c>
      <c r="C31" t="s">
        <v>366</v>
      </c>
      <c r="D31" t="s">
        <v>372</v>
      </c>
      <c r="E31" t="s">
        <v>9</v>
      </c>
      <c r="F31" t="s">
        <v>295</v>
      </c>
      <c r="G31" t="s">
        <v>351</v>
      </c>
      <c r="H31" t="s">
        <v>19</v>
      </c>
      <c r="I31" t="s">
        <v>20</v>
      </c>
      <c r="J31" t="s">
        <v>368</v>
      </c>
      <c r="K31" t="s">
        <v>15</v>
      </c>
      <c r="L31" s="1">
        <v>46052.434876250001</v>
      </c>
      <c r="M31" t="s">
        <v>16</v>
      </c>
    </row>
    <row r="32" spans="1:13" x14ac:dyDescent="0.25">
      <c r="A32" t="s">
        <v>373</v>
      </c>
      <c r="B32" t="s">
        <v>334</v>
      </c>
      <c r="C32" t="s">
        <v>335</v>
      </c>
      <c r="D32" t="s">
        <v>374</v>
      </c>
      <c r="E32" t="s">
        <v>294</v>
      </c>
      <c r="F32" t="s">
        <v>295</v>
      </c>
      <c r="G32" t="s">
        <v>351</v>
      </c>
      <c r="H32" t="s">
        <v>19</v>
      </c>
      <c r="I32" t="s">
        <v>20</v>
      </c>
      <c r="J32" t="s">
        <v>337</v>
      </c>
      <c r="K32" t="s">
        <v>15</v>
      </c>
      <c r="L32" s="1">
        <v>46052.434876250001</v>
      </c>
      <c r="M32" t="s">
        <v>16</v>
      </c>
    </row>
    <row r="33" spans="1:13" x14ac:dyDescent="0.25">
      <c r="A33" t="s">
        <v>375</v>
      </c>
      <c r="B33" t="s">
        <v>334</v>
      </c>
      <c r="C33" t="s">
        <v>335</v>
      </c>
      <c r="D33" t="s">
        <v>376</v>
      </c>
      <c r="E33" t="s">
        <v>294</v>
      </c>
      <c r="F33" t="s">
        <v>295</v>
      </c>
      <c r="G33" t="s">
        <v>351</v>
      </c>
      <c r="H33" t="s">
        <v>19</v>
      </c>
      <c r="I33" t="s">
        <v>20</v>
      </c>
      <c r="J33" t="s">
        <v>337</v>
      </c>
      <c r="K33" t="s">
        <v>15</v>
      </c>
      <c r="L33" s="1">
        <v>46052.434876250001</v>
      </c>
      <c r="M33" t="s">
        <v>16</v>
      </c>
    </row>
    <row r="34" spans="1:13" x14ac:dyDescent="0.25">
      <c r="A34" t="s">
        <v>377</v>
      </c>
      <c r="B34" t="s">
        <v>334</v>
      </c>
      <c r="C34" t="s">
        <v>335</v>
      </c>
      <c r="D34" t="s">
        <v>339</v>
      </c>
      <c r="E34" t="s">
        <v>294</v>
      </c>
      <c r="F34" t="s">
        <v>295</v>
      </c>
      <c r="G34" t="s">
        <v>351</v>
      </c>
      <c r="H34" t="s">
        <v>19</v>
      </c>
      <c r="I34" t="s">
        <v>20</v>
      </c>
      <c r="J34" t="s">
        <v>337</v>
      </c>
      <c r="K34" t="s">
        <v>15</v>
      </c>
      <c r="L34" s="1">
        <v>46052.434876250001</v>
      </c>
      <c r="M34" t="s">
        <v>16</v>
      </c>
    </row>
    <row r="35" spans="1:13" x14ac:dyDescent="0.25">
      <c r="A35" t="s">
        <v>378</v>
      </c>
      <c r="B35" t="s">
        <v>234</v>
      </c>
      <c r="C35" t="s">
        <v>341</v>
      </c>
      <c r="D35" t="s">
        <v>379</v>
      </c>
      <c r="E35" t="s">
        <v>314</v>
      </c>
      <c r="F35" t="s">
        <v>295</v>
      </c>
      <c r="G35" t="s">
        <v>351</v>
      </c>
      <c r="H35" t="s">
        <v>19</v>
      </c>
      <c r="I35" t="s">
        <v>20</v>
      </c>
      <c r="J35" t="s">
        <v>343</v>
      </c>
      <c r="K35" t="s">
        <v>15</v>
      </c>
      <c r="L35" s="1">
        <v>46052.434876250001</v>
      </c>
      <c r="M35" t="s">
        <v>16</v>
      </c>
    </row>
    <row r="36" spans="1:13" x14ac:dyDescent="0.25">
      <c r="A36" t="s">
        <v>380</v>
      </c>
      <c r="B36" t="s">
        <v>234</v>
      </c>
      <c r="C36" t="s">
        <v>341</v>
      </c>
      <c r="D36" t="s">
        <v>381</v>
      </c>
      <c r="E36" t="s">
        <v>314</v>
      </c>
      <c r="F36" t="s">
        <v>295</v>
      </c>
      <c r="G36" t="s">
        <v>351</v>
      </c>
      <c r="H36" t="s">
        <v>19</v>
      </c>
      <c r="I36" t="s">
        <v>20</v>
      </c>
      <c r="J36" t="s">
        <v>343</v>
      </c>
      <c r="K36" t="s">
        <v>15</v>
      </c>
      <c r="L36" s="1">
        <v>46052.434876250001</v>
      </c>
      <c r="M36" t="s">
        <v>16</v>
      </c>
    </row>
    <row r="37" spans="1:13" x14ac:dyDescent="0.25">
      <c r="A37" t="s">
        <v>382</v>
      </c>
      <c r="B37" t="s">
        <v>234</v>
      </c>
      <c r="C37" t="s">
        <v>341</v>
      </c>
      <c r="D37" t="s">
        <v>383</v>
      </c>
      <c r="E37" t="s">
        <v>314</v>
      </c>
      <c r="F37" t="s">
        <v>295</v>
      </c>
      <c r="G37" t="s">
        <v>351</v>
      </c>
      <c r="H37" t="s">
        <v>19</v>
      </c>
      <c r="I37" t="s">
        <v>20</v>
      </c>
      <c r="J37" t="s">
        <v>343</v>
      </c>
      <c r="K37" t="s">
        <v>15</v>
      </c>
      <c r="L37" s="1">
        <v>46052.434876250001</v>
      </c>
      <c r="M37" t="s">
        <v>16</v>
      </c>
    </row>
    <row r="38" spans="1:13" x14ac:dyDescent="0.25">
      <c r="A38" t="s">
        <v>384</v>
      </c>
      <c r="B38" t="s">
        <v>234</v>
      </c>
      <c r="C38" t="s">
        <v>341</v>
      </c>
      <c r="D38" t="s">
        <v>385</v>
      </c>
      <c r="E38" t="s">
        <v>314</v>
      </c>
      <c r="F38" t="s">
        <v>295</v>
      </c>
      <c r="G38" t="s">
        <v>351</v>
      </c>
      <c r="H38" t="s">
        <v>19</v>
      </c>
      <c r="I38" t="s">
        <v>20</v>
      </c>
      <c r="J38" t="s">
        <v>343</v>
      </c>
      <c r="K38" t="s">
        <v>15</v>
      </c>
      <c r="L38" s="1">
        <v>46052.434876250001</v>
      </c>
      <c r="M38" t="s">
        <v>16</v>
      </c>
    </row>
    <row r="39" spans="1:13" x14ac:dyDescent="0.25">
      <c r="A39" t="s">
        <v>386</v>
      </c>
      <c r="B39" t="s">
        <v>230</v>
      </c>
      <c r="C39" t="s">
        <v>292</v>
      </c>
      <c r="D39" t="s">
        <v>293</v>
      </c>
      <c r="E39" t="s">
        <v>294</v>
      </c>
      <c r="F39" t="s">
        <v>295</v>
      </c>
      <c r="G39" t="s">
        <v>387</v>
      </c>
      <c r="H39" t="s">
        <v>21</v>
      </c>
      <c r="I39" t="s">
        <v>22</v>
      </c>
      <c r="J39" t="s">
        <v>297</v>
      </c>
      <c r="K39" t="s">
        <v>15</v>
      </c>
      <c r="L39" s="1">
        <v>46052.434876250001</v>
      </c>
      <c r="M39" t="s">
        <v>16</v>
      </c>
    </row>
    <row r="40" spans="1:13" x14ac:dyDescent="0.25">
      <c r="A40" t="s">
        <v>388</v>
      </c>
      <c r="B40" t="s">
        <v>299</v>
      </c>
      <c r="C40" t="s">
        <v>300</v>
      </c>
      <c r="D40" t="s">
        <v>301</v>
      </c>
      <c r="E40" t="s">
        <v>294</v>
      </c>
      <c r="F40" t="s">
        <v>295</v>
      </c>
      <c r="G40" t="s">
        <v>387</v>
      </c>
      <c r="H40" t="s">
        <v>21</v>
      </c>
      <c r="I40" t="s">
        <v>22</v>
      </c>
      <c r="J40" t="s">
        <v>302</v>
      </c>
      <c r="K40" t="s">
        <v>15</v>
      </c>
      <c r="L40" s="1">
        <v>46052.434876250001</v>
      </c>
      <c r="M40" t="s">
        <v>16</v>
      </c>
    </row>
    <row r="41" spans="1:13" x14ac:dyDescent="0.25">
      <c r="A41" t="s">
        <v>389</v>
      </c>
      <c r="B41" t="s">
        <v>299</v>
      </c>
      <c r="C41" t="s">
        <v>300</v>
      </c>
      <c r="D41" t="s">
        <v>304</v>
      </c>
      <c r="E41" t="s">
        <v>294</v>
      </c>
      <c r="F41" t="s">
        <v>295</v>
      </c>
      <c r="G41" t="s">
        <v>387</v>
      </c>
      <c r="H41" t="s">
        <v>21</v>
      </c>
      <c r="I41" t="s">
        <v>22</v>
      </c>
      <c r="J41" t="s">
        <v>302</v>
      </c>
      <c r="K41" t="s">
        <v>15</v>
      </c>
      <c r="L41" s="1">
        <v>46052.434876250001</v>
      </c>
      <c r="M41" t="s">
        <v>16</v>
      </c>
    </row>
    <row r="42" spans="1:13" x14ac:dyDescent="0.25">
      <c r="A42" t="s">
        <v>390</v>
      </c>
      <c r="B42" t="s">
        <v>299</v>
      </c>
      <c r="C42" t="s">
        <v>300</v>
      </c>
      <c r="D42" t="s">
        <v>306</v>
      </c>
      <c r="E42" t="s">
        <v>294</v>
      </c>
      <c r="F42" t="s">
        <v>295</v>
      </c>
      <c r="G42" t="s">
        <v>387</v>
      </c>
      <c r="H42" t="s">
        <v>21</v>
      </c>
      <c r="I42" t="s">
        <v>22</v>
      </c>
      <c r="J42" t="s">
        <v>302</v>
      </c>
      <c r="K42" t="s">
        <v>15</v>
      </c>
      <c r="L42" s="1">
        <v>46052.434876250001</v>
      </c>
      <c r="M42" t="s">
        <v>16</v>
      </c>
    </row>
    <row r="43" spans="1:13" x14ac:dyDescent="0.25">
      <c r="A43" t="s">
        <v>391</v>
      </c>
      <c r="B43" t="s">
        <v>299</v>
      </c>
      <c r="C43" t="s">
        <v>300</v>
      </c>
      <c r="D43" t="s">
        <v>308</v>
      </c>
      <c r="E43" t="s">
        <v>294</v>
      </c>
      <c r="F43" t="s">
        <v>295</v>
      </c>
      <c r="G43" t="s">
        <v>387</v>
      </c>
      <c r="H43" t="s">
        <v>21</v>
      </c>
      <c r="I43" t="s">
        <v>22</v>
      </c>
      <c r="J43" t="s">
        <v>302</v>
      </c>
      <c r="K43" t="s">
        <v>15</v>
      </c>
      <c r="L43" s="1">
        <v>46052.434876250001</v>
      </c>
      <c r="M43" t="s">
        <v>16</v>
      </c>
    </row>
    <row r="44" spans="1:13" x14ac:dyDescent="0.25">
      <c r="A44" t="s">
        <v>392</v>
      </c>
      <c r="B44" t="s">
        <v>299</v>
      </c>
      <c r="C44" t="s">
        <v>300</v>
      </c>
      <c r="D44" t="s">
        <v>393</v>
      </c>
      <c r="E44" t="s">
        <v>294</v>
      </c>
      <c r="F44" t="s">
        <v>295</v>
      </c>
      <c r="G44" t="s">
        <v>387</v>
      </c>
      <c r="H44" t="s">
        <v>21</v>
      </c>
      <c r="I44" t="s">
        <v>22</v>
      </c>
      <c r="J44" t="s">
        <v>302</v>
      </c>
      <c r="K44" t="s">
        <v>15</v>
      </c>
      <c r="L44" s="1">
        <v>46052.434876250001</v>
      </c>
      <c r="M44" t="s">
        <v>16</v>
      </c>
    </row>
    <row r="45" spans="1:13" x14ac:dyDescent="0.25">
      <c r="A45" t="s">
        <v>394</v>
      </c>
      <c r="B45" t="s">
        <v>299</v>
      </c>
      <c r="C45" t="s">
        <v>300</v>
      </c>
      <c r="D45" t="s">
        <v>395</v>
      </c>
      <c r="E45" t="s">
        <v>294</v>
      </c>
      <c r="F45" t="s">
        <v>295</v>
      </c>
      <c r="G45" t="s">
        <v>387</v>
      </c>
      <c r="H45" t="s">
        <v>21</v>
      </c>
      <c r="I45" t="s">
        <v>22</v>
      </c>
      <c r="J45" t="s">
        <v>302</v>
      </c>
      <c r="K45" t="s">
        <v>15</v>
      </c>
      <c r="L45" s="1">
        <v>46052.434876250001</v>
      </c>
      <c r="M45" t="s">
        <v>16</v>
      </c>
    </row>
    <row r="46" spans="1:13" x14ac:dyDescent="0.25">
      <c r="A46" t="s">
        <v>396</v>
      </c>
      <c r="B46" t="s">
        <v>299</v>
      </c>
      <c r="C46" t="s">
        <v>300</v>
      </c>
      <c r="D46" t="s">
        <v>397</v>
      </c>
      <c r="E46" t="s">
        <v>294</v>
      </c>
      <c r="F46" t="s">
        <v>295</v>
      </c>
      <c r="G46" t="s">
        <v>387</v>
      </c>
      <c r="H46" t="s">
        <v>21</v>
      </c>
      <c r="I46" t="s">
        <v>22</v>
      </c>
      <c r="J46" t="s">
        <v>302</v>
      </c>
      <c r="K46" t="s">
        <v>15</v>
      </c>
      <c r="L46" s="1">
        <v>46052.434876250001</v>
      </c>
      <c r="M46" t="s">
        <v>16</v>
      </c>
    </row>
    <row r="47" spans="1:13" x14ac:dyDescent="0.25">
      <c r="A47" t="s">
        <v>398</v>
      </c>
      <c r="B47" t="s">
        <v>317</v>
      </c>
      <c r="C47" t="s">
        <v>318</v>
      </c>
      <c r="D47" t="s">
        <v>319</v>
      </c>
      <c r="E47" t="s">
        <v>294</v>
      </c>
      <c r="F47" t="s">
        <v>295</v>
      </c>
      <c r="G47" t="s">
        <v>387</v>
      </c>
      <c r="H47" t="s">
        <v>21</v>
      </c>
      <c r="I47" t="s">
        <v>22</v>
      </c>
      <c r="J47" t="s">
        <v>320</v>
      </c>
      <c r="K47" t="s">
        <v>15</v>
      </c>
      <c r="L47" s="1">
        <v>46052.434876250001</v>
      </c>
      <c r="M47" t="s">
        <v>16</v>
      </c>
    </row>
    <row r="48" spans="1:13" x14ac:dyDescent="0.25">
      <c r="A48" t="s">
        <v>399</v>
      </c>
      <c r="B48" t="s">
        <v>322</v>
      </c>
      <c r="C48" t="s">
        <v>323</v>
      </c>
      <c r="D48" t="s">
        <v>324</v>
      </c>
      <c r="E48" t="s">
        <v>9</v>
      </c>
      <c r="F48" t="s">
        <v>295</v>
      </c>
      <c r="G48" t="s">
        <v>387</v>
      </c>
      <c r="H48" t="s">
        <v>21</v>
      </c>
      <c r="I48" t="s">
        <v>22</v>
      </c>
      <c r="J48" t="s">
        <v>325</v>
      </c>
      <c r="K48" t="s">
        <v>15</v>
      </c>
      <c r="L48" s="1">
        <v>46052.434876250001</v>
      </c>
      <c r="M48" t="s">
        <v>16</v>
      </c>
    </row>
    <row r="49" spans="1:13" x14ac:dyDescent="0.25">
      <c r="A49" t="s">
        <v>400</v>
      </c>
      <c r="B49" t="s">
        <v>322</v>
      </c>
      <c r="C49" t="s">
        <v>323</v>
      </c>
      <c r="D49" t="s">
        <v>327</v>
      </c>
      <c r="E49" t="s">
        <v>9</v>
      </c>
      <c r="F49" t="s">
        <v>295</v>
      </c>
      <c r="G49" t="s">
        <v>387</v>
      </c>
      <c r="H49" t="s">
        <v>21</v>
      </c>
      <c r="I49" t="s">
        <v>22</v>
      </c>
      <c r="J49" t="s">
        <v>325</v>
      </c>
      <c r="K49" t="s">
        <v>15</v>
      </c>
      <c r="L49" s="1">
        <v>46052.434876250001</v>
      </c>
      <c r="M49" t="s">
        <v>16</v>
      </c>
    </row>
    <row r="50" spans="1:13" x14ac:dyDescent="0.25">
      <c r="A50" t="s">
        <v>401</v>
      </c>
      <c r="B50" t="s">
        <v>322</v>
      </c>
      <c r="C50" t="s">
        <v>323</v>
      </c>
      <c r="D50" t="s">
        <v>329</v>
      </c>
      <c r="E50" t="s">
        <v>9</v>
      </c>
      <c r="F50" t="s">
        <v>295</v>
      </c>
      <c r="G50" t="s">
        <v>387</v>
      </c>
      <c r="H50" t="s">
        <v>21</v>
      </c>
      <c r="I50" t="s">
        <v>22</v>
      </c>
      <c r="J50" t="s">
        <v>325</v>
      </c>
      <c r="K50" t="s">
        <v>15</v>
      </c>
      <c r="L50" s="1">
        <v>46052.434876250001</v>
      </c>
      <c r="M50" t="s">
        <v>16</v>
      </c>
    </row>
    <row r="51" spans="1:13" x14ac:dyDescent="0.25">
      <c r="A51" t="s">
        <v>402</v>
      </c>
      <c r="B51" t="s">
        <v>233</v>
      </c>
      <c r="C51" t="s">
        <v>331</v>
      </c>
      <c r="D51" t="s">
        <v>332</v>
      </c>
      <c r="E51" t="s">
        <v>314</v>
      </c>
      <c r="F51" t="s">
        <v>295</v>
      </c>
      <c r="G51" t="s">
        <v>387</v>
      </c>
      <c r="H51" t="s">
        <v>21</v>
      </c>
      <c r="I51" t="s">
        <v>22</v>
      </c>
      <c r="J51" t="s">
        <v>315</v>
      </c>
      <c r="K51" t="s">
        <v>15</v>
      </c>
      <c r="L51" s="1">
        <v>46052.434876250001</v>
      </c>
      <c r="M51" t="s">
        <v>16</v>
      </c>
    </row>
    <row r="52" spans="1:13" x14ac:dyDescent="0.25">
      <c r="A52" t="s">
        <v>403</v>
      </c>
      <c r="B52" t="s">
        <v>334</v>
      </c>
      <c r="C52" t="s">
        <v>335</v>
      </c>
      <c r="D52" t="s">
        <v>336</v>
      </c>
      <c r="E52" t="s">
        <v>294</v>
      </c>
      <c r="F52" t="s">
        <v>295</v>
      </c>
      <c r="G52" t="s">
        <v>387</v>
      </c>
      <c r="H52" t="s">
        <v>21</v>
      </c>
      <c r="I52" t="s">
        <v>22</v>
      </c>
      <c r="J52" t="s">
        <v>337</v>
      </c>
      <c r="K52" t="s">
        <v>15</v>
      </c>
      <c r="L52" s="1">
        <v>46052.434876250001</v>
      </c>
      <c r="M52" t="s">
        <v>16</v>
      </c>
    </row>
    <row r="53" spans="1:13" x14ac:dyDescent="0.25">
      <c r="A53" t="s">
        <v>404</v>
      </c>
      <c r="B53" t="s">
        <v>334</v>
      </c>
      <c r="C53" t="s">
        <v>335</v>
      </c>
      <c r="D53" t="s">
        <v>339</v>
      </c>
      <c r="E53" t="s">
        <v>294</v>
      </c>
      <c r="F53" t="s">
        <v>295</v>
      </c>
      <c r="G53" t="s">
        <v>387</v>
      </c>
      <c r="H53" t="s">
        <v>21</v>
      </c>
      <c r="I53" t="s">
        <v>22</v>
      </c>
      <c r="J53" t="s">
        <v>337</v>
      </c>
      <c r="K53" t="s">
        <v>15</v>
      </c>
      <c r="L53" s="1">
        <v>46052.434876250001</v>
      </c>
      <c r="M53" t="s">
        <v>16</v>
      </c>
    </row>
    <row r="54" spans="1:13" x14ac:dyDescent="0.25">
      <c r="A54" t="s">
        <v>405</v>
      </c>
      <c r="B54" t="s">
        <v>234</v>
      </c>
      <c r="C54" t="s">
        <v>341</v>
      </c>
      <c r="D54" t="s">
        <v>406</v>
      </c>
      <c r="E54" t="s">
        <v>314</v>
      </c>
      <c r="F54" t="s">
        <v>295</v>
      </c>
      <c r="G54" t="s">
        <v>387</v>
      </c>
      <c r="H54" t="s">
        <v>21</v>
      </c>
      <c r="I54" t="s">
        <v>22</v>
      </c>
      <c r="J54" t="s">
        <v>343</v>
      </c>
      <c r="K54" t="s">
        <v>15</v>
      </c>
      <c r="L54" s="1">
        <v>46052.434876250001</v>
      </c>
      <c r="M54" t="s">
        <v>16</v>
      </c>
    </row>
    <row r="55" spans="1:13" x14ac:dyDescent="0.25">
      <c r="A55" t="s">
        <v>407</v>
      </c>
      <c r="B55" t="s">
        <v>234</v>
      </c>
      <c r="C55" t="s">
        <v>341</v>
      </c>
      <c r="D55" t="s">
        <v>408</v>
      </c>
      <c r="E55" t="s">
        <v>314</v>
      </c>
      <c r="F55" t="s">
        <v>295</v>
      </c>
      <c r="G55" t="s">
        <v>387</v>
      </c>
      <c r="H55" t="s">
        <v>21</v>
      </c>
      <c r="I55" t="s">
        <v>22</v>
      </c>
      <c r="J55" t="s">
        <v>343</v>
      </c>
      <c r="K55" t="s">
        <v>15</v>
      </c>
      <c r="L55" s="1">
        <v>46052.434876250001</v>
      </c>
      <c r="M55" t="s">
        <v>16</v>
      </c>
    </row>
    <row r="56" spans="1:13" x14ac:dyDescent="0.25">
      <c r="A56" t="s">
        <v>409</v>
      </c>
      <c r="B56" t="s">
        <v>234</v>
      </c>
      <c r="C56" t="s">
        <v>341</v>
      </c>
      <c r="D56" t="s">
        <v>410</v>
      </c>
      <c r="E56" t="s">
        <v>314</v>
      </c>
      <c r="F56" t="s">
        <v>295</v>
      </c>
      <c r="G56" t="s">
        <v>387</v>
      </c>
      <c r="H56" t="s">
        <v>21</v>
      </c>
      <c r="I56" t="s">
        <v>22</v>
      </c>
      <c r="J56" t="s">
        <v>343</v>
      </c>
      <c r="K56" t="s">
        <v>15</v>
      </c>
      <c r="L56" s="1">
        <v>46052.434876250001</v>
      </c>
      <c r="M56" t="s">
        <v>16</v>
      </c>
    </row>
    <row r="57" spans="1:13" x14ac:dyDescent="0.25">
      <c r="A57" t="s">
        <v>411</v>
      </c>
      <c r="B57" t="s">
        <v>234</v>
      </c>
      <c r="C57" t="s">
        <v>341</v>
      </c>
      <c r="D57" t="s">
        <v>412</v>
      </c>
      <c r="E57" t="s">
        <v>314</v>
      </c>
      <c r="F57" t="s">
        <v>295</v>
      </c>
      <c r="G57" t="s">
        <v>387</v>
      </c>
      <c r="H57" t="s">
        <v>21</v>
      </c>
      <c r="I57" t="s">
        <v>22</v>
      </c>
      <c r="J57" t="s">
        <v>343</v>
      </c>
      <c r="K57" t="s">
        <v>15</v>
      </c>
      <c r="L57" s="1">
        <v>46052.434876250001</v>
      </c>
      <c r="M57" t="s">
        <v>16</v>
      </c>
    </row>
    <row r="58" spans="1:13" x14ac:dyDescent="0.25">
      <c r="A58" t="s">
        <v>413</v>
      </c>
      <c r="B58" t="s">
        <v>234</v>
      </c>
      <c r="C58" t="s">
        <v>341</v>
      </c>
      <c r="D58" t="s">
        <v>414</v>
      </c>
      <c r="E58" t="s">
        <v>314</v>
      </c>
      <c r="F58" t="s">
        <v>295</v>
      </c>
      <c r="G58" t="s">
        <v>387</v>
      </c>
      <c r="H58" t="s">
        <v>21</v>
      </c>
      <c r="I58" t="s">
        <v>22</v>
      </c>
      <c r="J58" t="s">
        <v>343</v>
      </c>
      <c r="K58" t="s">
        <v>15</v>
      </c>
      <c r="L58" s="1">
        <v>46052.434876250001</v>
      </c>
      <c r="M58" t="s">
        <v>16</v>
      </c>
    </row>
    <row r="59" spans="1:13" x14ac:dyDescent="0.25">
      <c r="A59" t="s">
        <v>415</v>
      </c>
      <c r="B59" t="s">
        <v>234</v>
      </c>
      <c r="C59" t="s">
        <v>341</v>
      </c>
      <c r="D59" t="s">
        <v>349</v>
      </c>
      <c r="E59" t="s">
        <v>314</v>
      </c>
      <c r="F59" t="s">
        <v>295</v>
      </c>
      <c r="G59" t="s">
        <v>387</v>
      </c>
      <c r="H59" t="s">
        <v>21</v>
      </c>
      <c r="I59" t="s">
        <v>22</v>
      </c>
      <c r="J59" t="s">
        <v>343</v>
      </c>
      <c r="K59" t="s">
        <v>15</v>
      </c>
      <c r="L59" s="1">
        <v>46052.434876250001</v>
      </c>
      <c r="M59" t="s">
        <v>16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B5027-BEA3-4B3C-AB88-B43006CDB7BD}">
  <sheetPr codeName="Sheet5"/>
  <dimension ref="A1:I51"/>
  <sheetViews>
    <sheetView topLeftCell="A28" workbookViewId="0">
      <selection activeCell="C12" sqref="C12"/>
    </sheetView>
  </sheetViews>
  <sheetFormatPr defaultRowHeight="15" x14ac:dyDescent="0.25"/>
  <cols>
    <col min="1" max="1" width="35.7109375" style="10" customWidth="1"/>
    <col min="2" max="2" width="18.28515625" style="10" customWidth="1"/>
    <col min="3" max="3" width="15.28515625" style="10" customWidth="1"/>
    <col min="4" max="4" width="15.140625" style="10" customWidth="1"/>
    <col min="5" max="5" width="17.28515625" style="10" customWidth="1"/>
    <col min="6" max="6" width="29.5703125" style="10" customWidth="1"/>
    <col min="7" max="7" width="25" customWidth="1"/>
    <col min="8" max="8" width="14.5703125" customWidth="1"/>
    <col min="9" max="9" width="18.7109375" customWidth="1"/>
  </cols>
  <sheetData>
    <row r="1" spans="1:9" ht="47.25" x14ac:dyDescent="0.25">
      <c r="A1" s="2" t="s">
        <v>23</v>
      </c>
      <c r="B1" s="2" t="s">
        <v>24</v>
      </c>
      <c r="C1" s="2" t="s">
        <v>25</v>
      </c>
      <c r="D1" s="2" t="s">
        <v>26</v>
      </c>
      <c r="E1" s="2" t="s">
        <v>27</v>
      </c>
      <c r="F1" s="2" t="s">
        <v>28</v>
      </c>
      <c r="G1" s="2" t="s">
        <v>29</v>
      </c>
      <c r="H1" s="2" t="s">
        <v>235</v>
      </c>
      <c r="I1" s="2" t="s">
        <v>236</v>
      </c>
    </row>
    <row r="2" spans="1:9" ht="16.5" thickBot="1" x14ac:dyDescent="0.3">
      <c r="A2" s="3" t="s">
        <v>30</v>
      </c>
      <c r="B2" s="4" t="s">
        <v>18</v>
      </c>
      <c r="C2" s="4" t="s">
        <v>31</v>
      </c>
      <c r="D2" s="4" t="s">
        <v>32</v>
      </c>
      <c r="E2" s="4" t="s">
        <v>33</v>
      </c>
      <c r="F2" s="4" t="s">
        <v>34</v>
      </c>
      <c r="G2" s="5" t="s">
        <v>35</v>
      </c>
      <c r="H2" s="5" t="str">
        <f t="shared" ref="H2:H33" si="0">LEFT(B2, FIND(".", B2, FIND(".", B2)+1)-1)</f>
        <v>1.1</v>
      </c>
      <c r="I2" s="5" t="str">
        <f>IF(Standard[[#This Row],[Αρχή]]="P","Perceivable",IF(Standard[[#This Row],[Αρχή]]="O","Operable",IF(Standard[[#This Row],[Αρχή]]="U","Understandable",IF(Standard[[#This Row],[Αρχή]]="R","Robust"))))</f>
        <v>Perceivable</v>
      </c>
    </row>
    <row r="3" spans="1:9" ht="32.25" thickBot="1" x14ac:dyDescent="0.3">
      <c r="A3" s="6" t="s">
        <v>36</v>
      </c>
      <c r="B3" s="7" t="s">
        <v>37</v>
      </c>
      <c r="C3" s="7" t="s">
        <v>38</v>
      </c>
      <c r="D3" s="7" t="s">
        <v>32</v>
      </c>
      <c r="E3" s="7" t="s">
        <v>33</v>
      </c>
      <c r="F3" s="7" t="s">
        <v>34</v>
      </c>
      <c r="G3" s="5" t="s">
        <v>39</v>
      </c>
      <c r="H3" s="5" t="str">
        <f t="shared" si="0"/>
        <v>1.2</v>
      </c>
      <c r="I3" s="5" t="str">
        <f>IF(Standard[[#This Row],[Αρχή]]="P","Perceivable",IF(Standard[[#This Row],[Αρχή]]="O","Operable",IF(Standard[[#This Row],[Αρχή]]="U","Understandable",IF(Standard[[#This Row],[Αρχή]]="R","Robust"))))</f>
        <v>Perceivable</v>
      </c>
    </row>
    <row r="4" spans="1:9" ht="16.5" thickBot="1" x14ac:dyDescent="0.3">
      <c r="A4" s="3" t="s">
        <v>40</v>
      </c>
      <c r="B4" s="4" t="s">
        <v>41</v>
      </c>
      <c r="C4" s="4" t="s">
        <v>42</v>
      </c>
      <c r="D4" s="4" t="s">
        <v>32</v>
      </c>
      <c r="E4" s="4" t="s">
        <v>33</v>
      </c>
      <c r="F4" s="4" t="s">
        <v>43</v>
      </c>
      <c r="G4" s="5" t="s">
        <v>39</v>
      </c>
      <c r="H4" s="5" t="str">
        <f t="shared" si="0"/>
        <v>1.2</v>
      </c>
      <c r="I4" s="5" t="str">
        <f>IF(Standard[[#This Row],[Αρχή]]="P","Perceivable",IF(Standard[[#This Row],[Αρχή]]="O","Operable",IF(Standard[[#This Row],[Αρχή]]="U","Understandable",IF(Standard[[#This Row],[Αρχή]]="R","Robust"))))</f>
        <v>Perceivable</v>
      </c>
    </row>
    <row r="5" spans="1:9" ht="32.25" thickBot="1" x14ac:dyDescent="0.3">
      <c r="A5" s="6" t="s">
        <v>44</v>
      </c>
      <c r="B5" s="7" t="s">
        <v>45</v>
      </c>
      <c r="C5" s="7" t="s">
        <v>46</v>
      </c>
      <c r="D5" s="7" t="s">
        <v>32</v>
      </c>
      <c r="E5" s="7" t="s">
        <v>33</v>
      </c>
      <c r="F5" s="7" t="s">
        <v>47</v>
      </c>
      <c r="G5" s="5" t="s">
        <v>39</v>
      </c>
      <c r="H5" s="5" t="str">
        <f t="shared" si="0"/>
        <v>1.2</v>
      </c>
      <c r="I5" s="5" t="str">
        <f>IF(Standard[[#This Row],[Αρχή]]="P","Perceivable",IF(Standard[[#This Row],[Αρχή]]="O","Operable",IF(Standard[[#This Row],[Αρχή]]="U","Understandable",IF(Standard[[#This Row],[Αρχή]]="R","Robust"))))</f>
        <v>Perceivable</v>
      </c>
    </row>
    <row r="6" spans="1:9" ht="16.5" thickBot="1" x14ac:dyDescent="0.3">
      <c r="A6" s="3" t="s">
        <v>48</v>
      </c>
      <c r="B6" s="4" t="s">
        <v>49</v>
      </c>
      <c r="C6" s="4" t="s">
        <v>50</v>
      </c>
      <c r="D6" s="4" t="s">
        <v>51</v>
      </c>
      <c r="E6" s="4" t="s">
        <v>33</v>
      </c>
      <c r="F6" s="4" t="s">
        <v>43</v>
      </c>
      <c r="G6" s="5" t="s">
        <v>39</v>
      </c>
      <c r="H6" s="5" t="str">
        <f t="shared" si="0"/>
        <v>1.2</v>
      </c>
      <c r="I6" s="5" t="str">
        <f>IF(Standard[[#This Row],[Αρχή]]="P","Perceivable",IF(Standard[[#This Row],[Αρχή]]="O","Operable",IF(Standard[[#This Row],[Αρχή]]="U","Understandable",IF(Standard[[#This Row],[Αρχή]]="R","Robust"))))</f>
        <v>Perceivable</v>
      </c>
    </row>
    <row r="7" spans="1:9" ht="31.5" x14ac:dyDescent="0.25">
      <c r="A7" s="8" t="s">
        <v>44</v>
      </c>
      <c r="B7" s="9" t="s">
        <v>52</v>
      </c>
      <c r="C7" s="9" t="s">
        <v>53</v>
      </c>
      <c r="D7" s="9" t="s">
        <v>51</v>
      </c>
      <c r="E7" s="9" t="s">
        <v>33</v>
      </c>
      <c r="F7" s="9" t="s">
        <v>54</v>
      </c>
      <c r="G7" s="5" t="s">
        <v>39</v>
      </c>
      <c r="H7" s="5" t="str">
        <f t="shared" si="0"/>
        <v>1.2</v>
      </c>
      <c r="I7" s="5" t="str">
        <f>IF(Standard[[#This Row],[Αρχή]]="P","Perceivable",IF(Standard[[#This Row],[Αρχή]]="O","Operable",IF(Standard[[#This Row],[Αρχή]]="U","Understandable",IF(Standard[[#This Row],[Αρχή]]="R","Robust"))))</f>
        <v>Perceivable</v>
      </c>
    </row>
    <row r="8" spans="1:9" ht="16.5" thickBot="1" x14ac:dyDescent="0.3">
      <c r="A8" s="3" t="s">
        <v>55</v>
      </c>
      <c r="B8" s="4" t="s">
        <v>56</v>
      </c>
      <c r="C8" s="4" t="s">
        <v>57</v>
      </c>
      <c r="D8" s="4" t="s">
        <v>32</v>
      </c>
      <c r="E8" s="4" t="s">
        <v>33</v>
      </c>
      <c r="F8" s="4" t="s">
        <v>47</v>
      </c>
      <c r="G8" s="5" t="s">
        <v>58</v>
      </c>
      <c r="H8" s="5" t="str">
        <f t="shared" si="0"/>
        <v>1.3</v>
      </c>
      <c r="I8" s="5" t="str">
        <f>IF(Standard[[#This Row],[Αρχή]]="P","Perceivable",IF(Standard[[#This Row],[Αρχή]]="O","Operable",IF(Standard[[#This Row],[Αρχή]]="U","Understandable",IF(Standard[[#This Row],[Αρχή]]="R","Robust"))))</f>
        <v>Perceivable</v>
      </c>
    </row>
    <row r="9" spans="1:9" ht="16.5" thickBot="1" x14ac:dyDescent="0.3">
      <c r="A9" s="6" t="s">
        <v>59</v>
      </c>
      <c r="B9" s="7" t="s">
        <v>60</v>
      </c>
      <c r="C9" s="7" t="s">
        <v>61</v>
      </c>
      <c r="D9" s="7" t="s">
        <v>32</v>
      </c>
      <c r="E9" s="7" t="s">
        <v>33</v>
      </c>
      <c r="F9" s="7" t="s">
        <v>47</v>
      </c>
      <c r="G9" s="5" t="s">
        <v>58</v>
      </c>
      <c r="H9" s="5" t="str">
        <f t="shared" si="0"/>
        <v>1.3</v>
      </c>
      <c r="I9" s="5" t="str">
        <f>IF(Standard[[#This Row],[Αρχή]]="P","Perceivable",IF(Standard[[#This Row],[Αρχή]]="O","Operable",IF(Standard[[#This Row],[Αρχή]]="U","Understandable",IF(Standard[[#This Row],[Αρχή]]="R","Robust"))))</f>
        <v>Perceivable</v>
      </c>
    </row>
    <row r="10" spans="1:9" ht="16.5" thickBot="1" x14ac:dyDescent="0.3">
      <c r="A10" s="3" t="s">
        <v>62</v>
      </c>
      <c r="B10" s="4" t="s">
        <v>63</v>
      </c>
      <c r="C10" s="4" t="s">
        <v>64</v>
      </c>
      <c r="D10" s="4" t="s">
        <v>32</v>
      </c>
      <c r="E10" s="4" t="s">
        <v>33</v>
      </c>
      <c r="F10" s="4" t="s">
        <v>65</v>
      </c>
      <c r="G10" s="5" t="s">
        <v>58</v>
      </c>
      <c r="H10" s="5" t="str">
        <f t="shared" si="0"/>
        <v>1.3</v>
      </c>
      <c r="I10" s="5" t="str">
        <f>IF(Standard[[#This Row],[Αρχή]]="P","Perceivable",IF(Standard[[#This Row],[Αρχή]]="O","Operable",IF(Standard[[#This Row],[Αρχή]]="U","Understandable",IF(Standard[[#This Row],[Αρχή]]="R","Robust"))))</f>
        <v>Perceivable</v>
      </c>
    </row>
    <row r="11" spans="1:9" ht="16.5" thickBot="1" x14ac:dyDescent="0.3">
      <c r="A11" s="6" t="s">
        <v>66</v>
      </c>
      <c r="B11" s="7" t="s">
        <v>67</v>
      </c>
      <c r="C11" s="7" t="s">
        <v>68</v>
      </c>
      <c r="D11" s="7" t="s">
        <v>51</v>
      </c>
      <c r="E11" s="7" t="s">
        <v>33</v>
      </c>
      <c r="F11" s="7" t="s">
        <v>69</v>
      </c>
      <c r="G11" s="5" t="s">
        <v>58</v>
      </c>
      <c r="H11" s="5" t="str">
        <f t="shared" si="0"/>
        <v>1.3</v>
      </c>
      <c r="I11" s="5" t="str">
        <f>IF(Standard[[#This Row],[Αρχή]]="P","Perceivable",IF(Standard[[#This Row],[Αρχή]]="O","Operable",IF(Standard[[#This Row],[Αρχή]]="U","Understandable",IF(Standard[[#This Row],[Αρχή]]="R","Robust"))))</f>
        <v>Perceivable</v>
      </c>
    </row>
    <row r="12" spans="1:9" ht="16.5" thickBot="1" x14ac:dyDescent="0.3">
      <c r="A12" s="3" t="s">
        <v>70</v>
      </c>
      <c r="B12" s="4" t="s">
        <v>71</v>
      </c>
      <c r="C12" s="4" t="s">
        <v>72</v>
      </c>
      <c r="D12" s="4" t="s">
        <v>51</v>
      </c>
      <c r="E12" s="4" t="s">
        <v>33</v>
      </c>
      <c r="F12" s="4" t="s">
        <v>73</v>
      </c>
      <c r="G12" s="5" t="s">
        <v>58</v>
      </c>
      <c r="H12" s="5" t="str">
        <f t="shared" si="0"/>
        <v>1.3</v>
      </c>
      <c r="I12" s="5" t="str">
        <f>IF(Standard[[#This Row],[Αρχή]]="P","Perceivable",IF(Standard[[#This Row],[Αρχή]]="O","Operable",IF(Standard[[#This Row],[Αρχή]]="U","Understandable",IF(Standard[[#This Row],[Αρχή]]="R","Robust"))))</f>
        <v>Perceivable</v>
      </c>
    </row>
    <row r="13" spans="1:9" ht="16.5" thickBot="1" x14ac:dyDescent="0.3">
      <c r="A13" s="6" t="s">
        <v>74</v>
      </c>
      <c r="B13" s="7" t="s">
        <v>75</v>
      </c>
      <c r="C13" s="7" t="s">
        <v>76</v>
      </c>
      <c r="D13" s="7" t="s">
        <v>32</v>
      </c>
      <c r="E13" s="7" t="s">
        <v>33</v>
      </c>
      <c r="F13" s="7" t="s">
        <v>77</v>
      </c>
      <c r="G13" s="5" t="s">
        <v>78</v>
      </c>
      <c r="H13" s="5" t="str">
        <f t="shared" si="0"/>
        <v>1.4</v>
      </c>
      <c r="I13" s="5" t="str">
        <f>IF(Standard[[#This Row],[Αρχή]]="P","Perceivable",IF(Standard[[#This Row],[Αρχή]]="O","Operable",IF(Standard[[#This Row],[Αρχή]]="U","Understandable",IF(Standard[[#This Row],[Αρχή]]="R","Robust"))))</f>
        <v>Perceivable</v>
      </c>
    </row>
    <row r="14" spans="1:9" ht="16.5" thickBot="1" x14ac:dyDescent="0.3">
      <c r="A14" s="3" t="s">
        <v>79</v>
      </c>
      <c r="B14" s="4" t="s">
        <v>80</v>
      </c>
      <c r="C14" s="4" t="s">
        <v>81</v>
      </c>
      <c r="D14" s="4" t="s">
        <v>32</v>
      </c>
      <c r="E14" s="4" t="s">
        <v>33</v>
      </c>
      <c r="F14" s="4" t="s">
        <v>82</v>
      </c>
      <c r="G14" s="5" t="s">
        <v>78</v>
      </c>
      <c r="H14" s="5" t="str">
        <f t="shared" si="0"/>
        <v>1.4</v>
      </c>
      <c r="I14" s="5" t="str">
        <f>IF(Standard[[#This Row],[Αρχή]]="P","Perceivable",IF(Standard[[#This Row],[Αρχή]]="O","Operable",IF(Standard[[#This Row],[Αρχή]]="U","Understandable",IF(Standard[[#This Row],[Αρχή]]="R","Robust"))))</f>
        <v>Perceivable</v>
      </c>
    </row>
    <row r="15" spans="1:9" ht="16.5" thickBot="1" x14ac:dyDescent="0.3">
      <c r="A15" s="6" t="s">
        <v>83</v>
      </c>
      <c r="B15" s="7" t="s">
        <v>13</v>
      </c>
      <c r="C15" s="7" t="s">
        <v>84</v>
      </c>
      <c r="D15" s="7" t="s">
        <v>51</v>
      </c>
      <c r="E15" s="7" t="s">
        <v>33</v>
      </c>
      <c r="F15" s="7" t="s">
        <v>85</v>
      </c>
      <c r="G15" s="5" t="s">
        <v>78</v>
      </c>
      <c r="H15" s="5" t="str">
        <f t="shared" si="0"/>
        <v>1.4</v>
      </c>
      <c r="I15" s="5" t="str">
        <f>IF(Standard[[#This Row],[Αρχή]]="P","Perceivable",IF(Standard[[#This Row],[Αρχή]]="O","Operable",IF(Standard[[#This Row],[Αρχή]]="U","Understandable",IF(Standard[[#This Row],[Αρχή]]="R","Robust"))))</f>
        <v>Perceivable</v>
      </c>
    </row>
    <row r="16" spans="1:9" ht="16.5" thickBot="1" x14ac:dyDescent="0.3">
      <c r="A16" s="3" t="s">
        <v>86</v>
      </c>
      <c r="B16" s="4" t="s">
        <v>87</v>
      </c>
      <c r="C16" s="4" t="s">
        <v>88</v>
      </c>
      <c r="D16" s="4" t="s">
        <v>51</v>
      </c>
      <c r="E16" s="4" t="s">
        <v>33</v>
      </c>
      <c r="F16" s="4" t="s">
        <v>73</v>
      </c>
      <c r="G16" s="5" t="s">
        <v>78</v>
      </c>
      <c r="H16" s="5" t="str">
        <f t="shared" si="0"/>
        <v>1.4</v>
      </c>
      <c r="I16" s="5" t="str">
        <f>IF(Standard[[#This Row],[Αρχή]]="P","Perceivable",IF(Standard[[#This Row],[Αρχή]]="O","Operable",IF(Standard[[#This Row],[Αρχή]]="U","Understandable",IF(Standard[[#This Row],[Αρχή]]="R","Robust"))))</f>
        <v>Perceivable</v>
      </c>
    </row>
    <row r="17" spans="1:9" ht="16.5" thickBot="1" x14ac:dyDescent="0.3">
      <c r="A17" s="6" t="s">
        <v>89</v>
      </c>
      <c r="B17" s="7" t="s">
        <v>90</v>
      </c>
      <c r="C17" s="7" t="s">
        <v>91</v>
      </c>
      <c r="D17" s="7" t="s">
        <v>51</v>
      </c>
      <c r="E17" s="7" t="s">
        <v>33</v>
      </c>
      <c r="F17" s="7" t="s">
        <v>85</v>
      </c>
      <c r="G17" s="5" t="s">
        <v>78</v>
      </c>
      <c r="H17" s="5" t="str">
        <f t="shared" si="0"/>
        <v>1.4</v>
      </c>
      <c r="I17" s="5" t="str">
        <f>IF(Standard[[#This Row],[Αρχή]]="P","Perceivable",IF(Standard[[#This Row],[Αρχή]]="O","Operable",IF(Standard[[#This Row],[Αρχή]]="U","Understandable",IF(Standard[[#This Row],[Αρχή]]="R","Robust"))))</f>
        <v>Perceivable</v>
      </c>
    </row>
    <row r="18" spans="1:9" ht="16.5" thickBot="1" x14ac:dyDescent="0.3">
      <c r="A18" s="3" t="s">
        <v>92</v>
      </c>
      <c r="B18" s="4" t="s">
        <v>93</v>
      </c>
      <c r="C18" s="4" t="s">
        <v>94</v>
      </c>
      <c r="D18" s="4" t="s">
        <v>51</v>
      </c>
      <c r="E18" s="4" t="s">
        <v>33</v>
      </c>
      <c r="F18" s="4" t="s">
        <v>73</v>
      </c>
      <c r="G18" s="5" t="s">
        <v>78</v>
      </c>
      <c r="H18" s="5" t="str">
        <f t="shared" si="0"/>
        <v>1.4</v>
      </c>
      <c r="I18" s="5" t="str">
        <f>IF(Standard[[#This Row],[Αρχή]]="P","Perceivable",IF(Standard[[#This Row],[Αρχή]]="O","Operable",IF(Standard[[#This Row],[Αρχή]]="U","Understandable",IF(Standard[[#This Row],[Αρχή]]="R","Robust"))))</f>
        <v>Perceivable</v>
      </c>
    </row>
    <row r="19" spans="1:9" ht="16.5" thickBot="1" x14ac:dyDescent="0.3">
      <c r="A19" s="6" t="s">
        <v>95</v>
      </c>
      <c r="B19" s="7" t="s">
        <v>96</v>
      </c>
      <c r="C19" s="7" t="s">
        <v>97</v>
      </c>
      <c r="D19" s="7" t="s">
        <v>51</v>
      </c>
      <c r="E19" s="7" t="s">
        <v>33</v>
      </c>
      <c r="F19" s="7" t="s">
        <v>85</v>
      </c>
      <c r="G19" s="5" t="s">
        <v>78</v>
      </c>
      <c r="H19" s="5" t="str">
        <f t="shared" si="0"/>
        <v>1.4</v>
      </c>
      <c r="I19" s="5" t="str">
        <f>IF(Standard[[#This Row],[Αρχή]]="P","Perceivable",IF(Standard[[#This Row],[Αρχή]]="O","Operable",IF(Standard[[#This Row],[Αρχή]]="U","Understandable",IF(Standard[[#This Row],[Αρχή]]="R","Robust"))))</f>
        <v>Perceivable</v>
      </c>
    </row>
    <row r="20" spans="1:9" ht="16.5" thickBot="1" x14ac:dyDescent="0.3">
      <c r="A20" s="3" t="s">
        <v>98</v>
      </c>
      <c r="B20" s="4" t="s">
        <v>99</v>
      </c>
      <c r="C20" s="4" t="s">
        <v>100</v>
      </c>
      <c r="D20" s="4" t="s">
        <v>51</v>
      </c>
      <c r="E20" s="4" t="s">
        <v>33</v>
      </c>
      <c r="F20" s="4" t="s">
        <v>101</v>
      </c>
      <c r="G20" s="5" t="s">
        <v>78</v>
      </c>
      <c r="H20" s="5" t="str">
        <f t="shared" si="0"/>
        <v>1.4</v>
      </c>
      <c r="I20" s="5" t="str">
        <f>IF(Standard[[#This Row],[Αρχή]]="P","Perceivable",IF(Standard[[#This Row],[Αρχή]]="O","Operable",IF(Standard[[#This Row],[Αρχή]]="U","Understandable",IF(Standard[[#This Row],[Αρχή]]="R","Robust"))))</f>
        <v>Perceivable</v>
      </c>
    </row>
    <row r="21" spans="1:9" ht="16.5" thickBot="1" x14ac:dyDescent="0.3">
      <c r="A21" s="6" t="s">
        <v>102</v>
      </c>
      <c r="B21" s="7" t="s">
        <v>103</v>
      </c>
      <c r="C21" s="7" t="s">
        <v>104</v>
      </c>
      <c r="D21" s="7" t="s">
        <v>51</v>
      </c>
      <c r="E21" s="7" t="s">
        <v>33</v>
      </c>
      <c r="F21" s="7" t="s">
        <v>101</v>
      </c>
      <c r="G21" s="5" t="s">
        <v>78</v>
      </c>
      <c r="H21" s="5" t="str">
        <f t="shared" si="0"/>
        <v>1.4</v>
      </c>
      <c r="I21" s="5" t="str">
        <f>IF(Standard[[#This Row],[Αρχή]]="P","Perceivable",IF(Standard[[#This Row],[Αρχή]]="O","Operable",IF(Standard[[#This Row],[Αρχή]]="U","Understandable",IF(Standard[[#This Row],[Αρχή]]="R","Robust"))))</f>
        <v>Perceivable</v>
      </c>
    </row>
    <row r="22" spans="1:9" ht="16.5" thickBot="1" x14ac:dyDescent="0.3">
      <c r="A22" s="3" t="s">
        <v>105</v>
      </c>
      <c r="B22" s="4" t="s">
        <v>106</v>
      </c>
      <c r="C22" s="4" t="s">
        <v>107</v>
      </c>
      <c r="D22" s="4" t="s">
        <v>32</v>
      </c>
      <c r="E22" s="4" t="s">
        <v>108</v>
      </c>
      <c r="F22" s="4" t="s">
        <v>109</v>
      </c>
      <c r="G22" s="5" t="s">
        <v>110</v>
      </c>
      <c r="H22" s="5" t="str">
        <f t="shared" si="0"/>
        <v>2.1</v>
      </c>
      <c r="I22" s="5" t="str">
        <f>IF(Standard[[#This Row],[Αρχή]]="P","Perceivable",IF(Standard[[#This Row],[Αρχή]]="O","Operable",IF(Standard[[#This Row],[Αρχή]]="U","Understandable",IF(Standard[[#This Row],[Αρχή]]="R","Robust"))))</f>
        <v>Operable</v>
      </c>
    </row>
    <row r="23" spans="1:9" ht="16.5" thickBot="1" x14ac:dyDescent="0.3">
      <c r="A23" s="6" t="s">
        <v>111</v>
      </c>
      <c r="B23" s="7" t="s">
        <v>112</v>
      </c>
      <c r="C23" s="7" t="s">
        <v>113</v>
      </c>
      <c r="D23" s="7" t="s">
        <v>32</v>
      </c>
      <c r="E23" s="7" t="s">
        <v>108</v>
      </c>
      <c r="F23" s="7" t="s">
        <v>114</v>
      </c>
      <c r="G23" s="5" t="s">
        <v>110</v>
      </c>
      <c r="H23" s="5" t="str">
        <f t="shared" si="0"/>
        <v>2.1</v>
      </c>
      <c r="I23" s="5" t="str">
        <f>IF(Standard[[#This Row],[Αρχή]]="P","Perceivable",IF(Standard[[#This Row],[Αρχή]]="O","Operable",IF(Standard[[#This Row],[Αρχή]]="U","Understandable",IF(Standard[[#This Row],[Αρχή]]="R","Robust"))))</f>
        <v>Operable</v>
      </c>
    </row>
    <row r="24" spans="1:9" ht="16.5" thickBot="1" x14ac:dyDescent="0.3">
      <c r="A24" s="3" t="s">
        <v>115</v>
      </c>
      <c r="B24" s="4" t="s">
        <v>116</v>
      </c>
      <c r="C24" s="4" t="s">
        <v>117</v>
      </c>
      <c r="D24" s="4" t="s">
        <v>32</v>
      </c>
      <c r="E24" s="4" t="s">
        <v>108</v>
      </c>
      <c r="F24" s="4" t="s">
        <v>69</v>
      </c>
      <c r="G24" s="5" t="s">
        <v>110</v>
      </c>
      <c r="H24" s="5" t="str">
        <f t="shared" si="0"/>
        <v>2.1</v>
      </c>
      <c r="I24" s="5" t="str">
        <f>IF(Standard[[#This Row],[Αρχή]]="P","Perceivable",IF(Standard[[#This Row],[Αρχή]]="O","Operable",IF(Standard[[#This Row],[Αρχή]]="U","Understandable",IF(Standard[[#This Row],[Αρχή]]="R","Robust"))))</f>
        <v>Operable</v>
      </c>
    </row>
    <row r="25" spans="1:9" ht="16.5" thickBot="1" x14ac:dyDescent="0.3">
      <c r="A25" s="6" t="s">
        <v>118</v>
      </c>
      <c r="B25" s="7" t="s">
        <v>119</v>
      </c>
      <c r="C25" s="7" t="s">
        <v>120</v>
      </c>
      <c r="D25" s="7" t="s">
        <v>32</v>
      </c>
      <c r="E25" s="7" t="s">
        <v>108</v>
      </c>
      <c r="F25" s="7" t="s">
        <v>121</v>
      </c>
      <c r="G25" s="5" t="s">
        <v>122</v>
      </c>
      <c r="H25" s="5" t="str">
        <f t="shared" si="0"/>
        <v>2.2</v>
      </c>
      <c r="I25" s="5" t="str">
        <f>IF(Standard[[#This Row],[Αρχή]]="P","Perceivable",IF(Standard[[#This Row],[Αρχή]]="O","Operable",IF(Standard[[#This Row],[Αρχή]]="U","Understandable",IF(Standard[[#This Row],[Αρχή]]="R","Robust"))))</f>
        <v>Operable</v>
      </c>
    </row>
    <row r="26" spans="1:9" ht="16.5" thickBot="1" x14ac:dyDescent="0.3">
      <c r="A26" s="3" t="s">
        <v>123</v>
      </c>
      <c r="B26" s="4" t="s">
        <v>124</v>
      </c>
      <c r="C26" s="4" t="s">
        <v>125</v>
      </c>
      <c r="D26" s="4" t="s">
        <v>32</v>
      </c>
      <c r="E26" s="4" t="s">
        <v>108</v>
      </c>
      <c r="F26" s="4" t="s">
        <v>121</v>
      </c>
      <c r="G26" s="5" t="s">
        <v>122</v>
      </c>
      <c r="H26" s="5" t="str">
        <f t="shared" si="0"/>
        <v>2.2</v>
      </c>
      <c r="I26" s="5" t="str">
        <f>IF(Standard[[#This Row],[Αρχή]]="P","Perceivable",IF(Standard[[#This Row],[Αρχή]]="O","Operable",IF(Standard[[#This Row],[Αρχή]]="U","Understandable",IF(Standard[[#This Row],[Αρχή]]="R","Robust"))))</f>
        <v>Operable</v>
      </c>
    </row>
    <row r="27" spans="1:9" ht="32.25" thickBot="1" x14ac:dyDescent="0.3">
      <c r="A27" s="6" t="s">
        <v>126</v>
      </c>
      <c r="B27" s="7" t="s">
        <v>127</v>
      </c>
      <c r="C27" s="7" t="s">
        <v>128</v>
      </c>
      <c r="D27" s="7" t="s">
        <v>32</v>
      </c>
      <c r="E27" s="7" t="s">
        <v>108</v>
      </c>
      <c r="F27" s="7" t="s">
        <v>129</v>
      </c>
      <c r="G27" s="5" t="s">
        <v>130</v>
      </c>
      <c r="H27" s="5" t="str">
        <f t="shared" si="0"/>
        <v>2.3</v>
      </c>
      <c r="I27" s="5" t="str">
        <f>IF(Standard[[#This Row],[Αρχή]]="P","Perceivable",IF(Standard[[#This Row],[Αρχή]]="O","Operable",IF(Standard[[#This Row],[Αρχή]]="U","Understandable",IF(Standard[[#This Row],[Αρχή]]="R","Robust"))))</f>
        <v>Operable</v>
      </c>
    </row>
    <row r="28" spans="1:9" ht="16.5" thickBot="1" x14ac:dyDescent="0.3">
      <c r="A28" s="3" t="s">
        <v>131</v>
      </c>
      <c r="B28" s="4" t="s">
        <v>132</v>
      </c>
      <c r="C28" s="4" t="s">
        <v>133</v>
      </c>
      <c r="D28" s="4" t="s">
        <v>32</v>
      </c>
      <c r="E28" s="4" t="s">
        <v>108</v>
      </c>
      <c r="F28" s="4" t="s">
        <v>134</v>
      </c>
      <c r="G28" s="5" t="s">
        <v>135</v>
      </c>
      <c r="H28" s="5" t="str">
        <f t="shared" si="0"/>
        <v>2.4</v>
      </c>
      <c r="I28" s="5" t="str">
        <f>IF(Standard[[#This Row],[Αρχή]]="P","Perceivable",IF(Standard[[#This Row],[Αρχή]]="O","Operable",IF(Standard[[#This Row],[Αρχή]]="U","Understandable",IF(Standard[[#This Row],[Αρχή]]="R","Robust"))))</f>
        <v>Operable</v>
      </c>
    </row>
    <row r="29" spans="1:9" ht="16.5" thickBot="1" x14ac:dyDescent="0.3">
      <c r="A29" s="6" t="s">
        <v>136</v>
      </c>
      <c r="B29" s="7" t="s">
        <v>137</v>
      </c>
      <c r="C29" s="7" t="s">
        <v>138</v>
      </c>
      <c r="D29" s="7" t="s">
        <v>32</v>
      </c>
      <c r="E29" s="7" t="s">
        <v>108</v>
      </c>
      <c r="F29" s="7" t="s">
        <v>139</v>
      </c>
      <c r="G29" s="5" t="s">
        <v>135</v>
      </c>
      <c r="H29" s="5" t="str">
        <f t="shared" si="0"/>
        <v>2.4</v>
      </c>
      <c r="I29" s="5" t="str">
        <f>IF(Standard[[#This Row],[Αρχή]]="P","Perceivable",IF(Standard[[#This Row],[Αρχή]]="O","Operable",IF(Standard[[#This Row],[Αρχή]]="U","Understandable",IF(Standard[[#This Row],[Αρχή]]="R","Robust"))))</f>
        <v>Operable</v>
      </c>
    </row>
    <row r="30" spans="1:9" ht="16.5" thickBot="1" x14ac:dyDescent="0.3">
      <c r="A30" s="3" t="s">
        <v>140</v>
      </c>
      <c r="B30" s="4" t="s">
        <v>141</v>
      </c>
      <c r="C30" s="4" t="s">
        <v>142</v>
      </c>
      <c r="D30" s="4" t="s">
        <v>32</v>
      </c>
      <c r="E30" s="4" t="s">
        <v>108</v>
      </c>
      <c r="F30" s="4" t="s">
        <v>139</v>
      </c>
      <c r="G30" s="5" t="s">
        <v>135</v>
      </c>
      <c r="H30" s="5" t="str">
        <f t="shared" si="0"/>
        <v>2.4</v>
      </c>
      <c r="I30" s="5" t="str">
        <f>IF(Standard[[#This Row],[Αρχή]]="P","Perceivable",IF(Standard[[#This Row],[Αρχή]]="O","Operable",IF(Standard[[#This Row],[Αρχή]]="U","Understandable",IF(Standard[[#This Row],[Αρχή]]="R","Robust"))))</f>
        <v>Operable</v>
      </c>
    </row>
    <row r="31" spans="1:9" ht="16.5" thickBot="1" x14ac:dyDescent="0.3">
      <c r="A31" s="6" t="s">
        <v>143</v>
      </c>
      <c r="B31" s="7" t="s">
        <v>11</v>
      </c>
      <c r="C31" s="7" t="s">
        <v>144</v>
      </c>
      <c r="D31" s="7" t="s">
        <v>32</v>
      </c>
      <c r="E31" s="7" t="s">
        <v>108</v>
      </c>
      <c r="F31" s="7" t="s">
        <v>145</v>
      </c>
      <c r="G31" s="5" t="s">
        <v>135</v>
      </c>
      <c r="H31" s="5" t="str">
        <f t="shared" si="0"/>
        <v>2.4</v>
      </c>
      <c r="I31" s="5" t="str">
        <f>IF(Standard[[#This Row],[Αρχή]]="P","Perceivable",IF(Standard[[#This Row],[Αρχή]]="O","Operable",IF(Standard[[#This Row],[Αρχή]]="U","Understandable",IF(Standard[[#This Row],[Αρχή]]="R","Robust"))))</f>
        <v>Operable</v>
      </c>
    </row>
    <row r="32" spans="1:9" ht="16.5" thickBot="1" x14ac:dyDescent="0.3">
      <c r="A32" s="3" t="s">
        <v>146</v>
      </c>
      <c r="B32" s="4" t="s">
        <v>147</v>
      </c>
      <c r="C32" s="4" t="s">
        <v>148</v>
      </c>
      <c r="D32" s="4" t="s">
        <v>51</v>
      </c>
      <c r="E32" s="4" t="s">
        <v>108</v>
      </c>
      <c r="F32" s="4" t="s">
        <v>145</v>
      </c>
      <c r="G32" s="5" t="s">
        <v>135</v>
      </c>
      <c r="H32" s="5" t="str">
        <f t="shared" si="0"/>
        <v>2.4</v>
      </c>
      <c r="I32" s="5" t="str">
        <f>IF(Standard[[#This Row],[Αρχή]]="P","Perceivable",IF(Standard[[#This Row],[Αρχή]]="O","Operable",IF(Standard[[#This Row],[Αρχή]]="U","Understandable",IF(Standard[[#This Row],[Αρχή]]="R","Robust"))))</f>
        <v>Operable</v>
      </c>
    </row>
    <row r="33" spans="1:9" ht="16.5" thickBot="1" x14ac:dyDescent="0.3">
      <c r="A33" s="6" t="s">
        <v>149</v>
      </c>
      <c r="B33" s="7" t="s">
        <v>150</v>
      </c>
      <c r="C33" s="7" t="s">
        <v>151</v>
      </c>
      <c r="D33" s="7" t="s">
        <v>51</v>
      </c>
      <c r="E33" s="7" t="s">
        <v>108</v>
      </c>
      <c r="F33" s="7" t="s">
        <v>152</v>
      </c>
      <c r="G33" s="5" t="s">
        <v>135</v>
      </c>
      <c r="H33" s="5" t="str">
        <f t="shared" si="0"/>
        <v>2.4</v>
      </c>
      <c r="I33" s="5" t="str">
        <f>IF(Standard[[#This Row],[Αρχή]]="P","Perceivable",IF(Standard[[#This Row],[Αρχή]]="O","Operable",IF(Standard[[#This Row],[Αρχή]]="U","Understandable",IF(Standard[[#This Row],[Αρχή]]="R","Robust"))))</f>
        <v>Operable</v>
      </c>
    </row>
    <row r="34" spans="1:9" ht="16.5" thickBot="1" x14ac:dyDescent="0.3">
      <c r="A34" s="3" t="s">
        <v>153</v>
      </c>
      <c r="B34" s="4" t="s">
        <v>154</v>
      </c>
      <c r="C34" s="4" t="s">
        <v>155</v>
      </c>
      <c r="D34" s="4" t="s">
        <v>51</v>
      </c>
      <c r="E34" s="4" t="s">
        <v>108</v>
      </c>
      <c r="F34" s="4" t="s">
        <v>145</v>
      </c>
      <c r="G34" s="5" t="s">
        <v>135</v>
      </c>
      <c r="H34" s="5" t="str">
        <f t="shared" ref="H34:H51" si="1">LEFT(B34, FIND(".", B34, FIND(".", B34)+1)-1)</f>
        <v>2.4</v>
      </c>
      <c r="I34" s="5" t="str">
        <f>IF(Standard[[#This Row],[Αρχή]]="P","Perceivable",IF(Standard[[#This Row],[Αρχή]]="O","Operable",IF(Standard[[#This Row],[Αρχή]]="U","Understandable",IF(Standard[[#This Row],[Αρχή]]="R","Robust"))))</f>
        <v>Operable</v>
      </c>
    </row>
    <row r="35" spans="1:9" ht="16.5" thickBot="1" x14ac:dyDescent="0.3">
      <c r="A35" s="6" t="s">
        <v>156</v>
      </c>
      <c r="B35" s="7" t="s">
        <v>157</v>
      </c>
      <c r="C35" s="7" t="s">
        <v>158</v>
      </c>
      <c r="D35" s="7" t="s">
        <v>32</v>
      </c>
      <c r="E35" s="7" t="s">
        <v>108</v>
      </c>
      <c r="F35" s="7" t="s">
        <v>69</v>
      </c>
      <c r="G35" s="5" t="s">
        <v>159</v>
      </c>
      <c r="H35" s="5" t="str">
        <f t="shared" si="1"/>
        <v>2.5</v>
      </c>
      <c r="I35" s="5" t="str">
        <f>IF(Standard[[#This Row],[Αρχή]]="P","Perceivable",IF(Standard[[#This Row],[Αρχή]]="O","Operable",IF(Standard[[#This Row],[Αρχή]]="U","Understandable",IF(Standard[[#This Row],[Αρχή]]="R","Robust"))))</f>
        <v>Operable</v>
      </c>
    </row>
    <row r="36" spans="1:9" ht="16.5" thickBot="1" x14ac:dyDescent="0.3">
      <c r="A36" s="3" t="s">
        <v>160</v>
      </c>
      <c r="B36" s="4" t="s">
        <v>161</v>
      </c>
      <c r="C36" s="4" t="s">
        <v>162</v>
      </c>
      <c r="D36" s="4" t="s">
        <v>32</v>
      </c>
      <c r="E36" s="4" t="s">
        <v>108</v>
      </c>
      <c r="F36" s="4" t="s">
        <v>163</v>
      </c>
      <c r="G36" s="5" t="s">
        <v>159</v>
      </c>
      <c r="H36" s="5" t="str">
        <f t="shared" si="1"/>
        <v>2.5</v>
      </c>
      <c r="I36" s="5" t="str">
        <f>IF(Standard[[#This Row],[Αρχή]]="P","Perceivable",IF(Standard[[#This Row],[Αρχή]]="O","Operable",IF(Standard[[#This Row],[Αρχή]]="U","Understandable",IF(Standard[[#This Row],[Αρχή]]="R","Robust"))))</f>
        <v>Operable</v>
      </c>
    </row>
    <row r="37" spans="1:9" ht="16.5" thickBot="1" x14ac:dyDescent="0.3">
      <c r="A37" s="6" t="s">
        <v>164</v>
      </c>
      <c r="B37" s="7" t="s">
        <v>165</v>
      </c>
      <c r="C37" s="7" t="s">
        <v>166</v>
      </c>
      <c r="D37" s="7" t="s">
        <v>32</v>
      </c>
      <c r="E37" s="7" t="s">
        <v>108</v>
      </c>
      <c r="F37" s="7" t="s">
        <v>69</v>
      </c>
      <c r="G37" s="5" t="s">
        <v>159</v>
      </c>
      <c r="H37" s="5" t="str">
        <f t="shared" si="1"/>
        <v>2.5</v>
      </c>
      <c r="I37" s="5" t="str">
        <f>IF(Standard[[#This Row],[Αρχή]]="P","Perceivable",IF(Standard[[#This Row],[Αρχή]]="O","Operable",IF(Standard[[#This Row],[Αρχή]]="U","Understandable",IF(Standard[[#This Row],[Αρχή]]="R","Robust"))))</f>
        <v>Operable</v>
      </c>
    </row>
    <row r="38" spans="1:9" ht="16.5" thickBot="1" x14ac:dyDescent="0.3">
      <c r="A38" s="3" t="s">
        <v>167</v>
      </c>
      <c r="B38" s="4" t="s">
        <v>168</v>
      </c>
      <c r="C38" s="4" t="s">
        <v>169</v>
      </c>
      <c r="D38" s="4" t="s">
        <v>32</v>
      </c>
      <c r="E38" s="4" t="s">
        <v>108</v>
      </c>
      <c r="F38" s="4" t="s">
        <v>170</v>
      </c>
      <c r="G38" s="5" t="s">
        <v>159</v>
      </c>
      <c r="H38" s="5" t="str">
        <f t="shared" si="1"/>
        <v>2.5</v>
      </c>
      <c r="I38" s="5" t="str">
        <f>IF(Standard[[#This Row],[Αρχή]]="P","Perceivable",IF(Standard[[#This Row],[Αρχή]]="O","Operable",IF(Standard[[#This Row],[Αρχή]]="U","Understandable",IF(Standard[[#This Row],[Αρχή]]="R","Robust"))))</f>
        <v>Operable</v>
      </c>
    </row>
    <row r="39" spans="1:9" ht="16.5" thickBot="1" x14ac:dyDescent="0.3">
      <c r="A39" s="6" t="s">
        <v>171</v>
      </c>
      <c r="B39" s="7" t="s">
        <v>17</v>
      </c>
      <c r="C39" s="7" t="s">
        <v>172</v>
      </c>
      <c r="D39" s="7" t="s">
        <v>32</v>
      </c>
      <c r="E39" s="7" t="s">
        <v>173</v>
      </c>
      <c r="F39" s="7" t="s">
        <v>34</v>
      </c>
      <c r="G39" s="5" t="s">
        <v>174</v>
      </c>
      <c r="H39" s="5" t="str">
        <f t="shared" si="1"/>
        <v>3.1</v>
      </c>
      <c r="I39" s="5" t="str">
        <f>IF(Standard[[#This Row],[Αρχή]]="P","Perceivable",IF(Standard[[#This Row],[Αρχή]]="O","Operable",IF(Standard[[#This Row],[Αρχή]]="U","Understandable",IF(Standard[[#This Row],[Αρχή]]="R","Robust"))))</f>
        <v>Understandable</v>
      </c>
    </row>
    <row r="40" spans="1:9" ht="16.5" thickBot="1" x14ac:dyDescent="0.3">
      <c r="A40" s="3" t="s">
        <v>175</v>
      </c>
      <c r="B40" s="4" t="s">
        <v>176</v>
      </c>
      <c r="C40" s="4" t="s">
        <v>177</v>
      </c>
      <c r="D40" s="4" t="s">
        <v>51</v>
      </c>
      <c r="E40" s="4" t="s">
        <v>173</v>
      </c>
      <c r="F40" s="4" t="s">
        <v>34</v>
      </c>
      <c r="G40" s="5" t="s">
        <v>174</v>
      </c>
      <c r="H40" s="5" t="str">
        <f t="shared" si="1"/>
        <v>3.1</v>
      </c>
      <c r="I40" s="5" t="str">
        <f>IF(Standard[[#This Row],[Αρχή]]="P","Perceivable",IF(Standard[[#This Row],[Αρχή]]="O","Operable",IF(Standard[[#This Row],[Αρχή]]="U","Understandable",IF(Standard[[#This Row],[Αρχή]]="R","Robust"))))</f>
        <v>Understandable</v>
      </c>
    </row>
    <row r="41" spans="1:9" ht="16.5" thickBot="1" x14ac:dyDescent="0.3">
      <c r="A41" s="6" t="s">
        <v>178</v>
      </c>
      <c r="B41" s="7" t="s">
        <v>179</v>
      </c>
      <c r="C41" s="7" t="s">
        <v>180</v>
      </c>
      <c r="D41" s="7" t="s">
        <v>32</v>
      </c>
      <c r="E41" s="7" t="s">
        <v>173</v>
      </c>
      <c r="F41" s="7" t="s">
        <v>139</v>
      </c>
      <c r="G41" s="5" t="s">
        <v>181</v>
      </c>
      <c r="H41" s="5" t="str">
        <f t="shared" si="1"/>
        <v>3.2</v>
      </c>
      <c r="I41" s="5" t="str">
        <f>IF(Standard[[#This Row],[Αρχή]]="P","Perceivable",IF(Standard[[#This Row],[Αρχή]]="O","Operable",IF(Standard[[#This Row],[Αρχή]]="U","Understandable",IF(Standard[[#This Row],[Αρχή]]="R","Robust"))))</f>
        <v>Understandable</v>
      </c>
    </row>
    <row r="42" spans="1:9" ht="16.5" thickBot="1" x14ac:dyDescent="0.3">
      <c r="A42" s="3" t="s">
        <v>182</v>
      </c>
      <c r="B42" s="4" t="s">
        <v>183</v>
      </c>
      <c r="C42" s="4" t="s">
        <v>184</v>
      </c>
      <c r="D42" s="4" t="s">
        <v>32</v>
      </c>
      <c r="E42" s="4" t="s">
        <v>173</v>
      </c>
      <c r="F42" s="4" t="s">
        <v>139</v>
      </c>
      <c r="G42" s="5" t="s">
        <v>181</v>
      </c>
      <c r="H42" s="5" t="str">
        <f t="shared" si="1"/>
        <v>3.2</v>
      </c>
      <c r="I42" s="5" t="str">
        <f>IF(Standard[[#This Row],[Αρχή]]="P","Perceivable",IF(Standard[[#This Row],[Αρχή]]="O","Operable",IF(Standard[[#This Row],[Αρχή]]="U","Understandable",IF(Standard[[#This Row],[Αρχή]]="R","Robust"))))</f>
        <v>Understandable</v>
      </c>
    </row>
    <row r="43" spans="1:9" ht="16.5" thickBot="1" x14ac:dyDescent="0.3">
      <c r="A43" s="6" t="s">
        <v>185</v>
      </c>
      <c r="B43" s="7" t="s">
        <v>186</v>
      </c>
      <c r="C43" s="7" t="s">
        <v>187</v>
      </c>
      <c r="D43" s="7" t="s">
        <v>51</v>
      </c>
      <c r="E43" s="7" t="s">
        <v>173</v>
      </c>
      <c r="F43" s="7" t="s">
        <v>47</v>
      </c>
      <c r="G43" s="5" t="s">
        <v>181</v>
      </c>
      <c r="H43" s="5" t="str">
        <f t="shared" si="1"/>
        <v>3.2</v>
      </c>
      <c r="I43" s="5" t="str">
        <f>IF(Standard[[#This Row],[Αρχή]]="P","Perceivable",IF(Standard[[#This Row],[Αρχή]]="O","Operable",IF(Standard[[#This Row],[Αρχή]]="U","Understandable",IF(Standard[[#This Row],[Αρχή]]="R","Robust"))))</f>
        <v>Understandable</v>
      </c>
    </row>
    <row r="44" spans="1:9" ht="16.5" thickBot="1" x14ac:dyDescent="0.3">
      <c r="A44" s="3" t="s">
        <v>188</v>
      </c>
      <c r="B44" s="4" t="s">
        <v>189</v>
      </c>
      <c r="C44" s="4" t="s">
        <v>190</v>
      </c>
      <c r="D44" s="4" t="s">
        <v>51</v>
      </c>
      <c r="E44" s="4" t="s">
        <v>173</v>
      </c>
      <c r="F44" s="4" t="s">
        <v>191</v>
      </c>
      <c r="G44" s="5" t="s">
        <v>181</v>
      </c>
      <c r="H44" s="5" t="str">
        <f t="shared" si="1"/>
        <v>3.2</v>
      </c>
      <c r="I44" s="5" t="str">
        <f>IF(Standard[[#This Row],[Αρχή]]="P","Perceivable",IF(Standard[[#This Row],[Αρχή]]="O","Operable",IF(Standard[[#This Row],[Αρχή]]="U","Understandable",IF(Standard[[#This Row],[Αρχή]]="R","Robust"))))</f>
        <v>Understandable</v>
      </c>
    </row>
    <row r="45" spans="1:9" ht="16.5" thickBot="1" x14ac:dyDescent="0.3">
      <c r="A45" s="6" t="s">
        <v>192</v>
      </c>
      <c r="B45" s="7" t="s">
        <v>193</v>
      </c>
      <c r="C45" s="7" t="s">
        <v>194</v>
      </c>
      <c r="D45" s="7" t="s">
        <v>32</v>
      </c>
      <c r="E45" s="7" t="s">
        <v>173</v>
      </c>
      <c r="F45" s="7" t="s">
        <v>77</v>
      </c>
      <c r="G45" s="5" t="s">
        <v>195</v>
      </c>
      <c r="H45" s="5" t="str">
        <f t="shared" si="1"/>
        <v>3.3</v>
      </c>
      <c r="I45" s="5" t="str">
        <f>IF(Standard[[#This Row],[Αρχή]]="P","Perceivable",IF(Standard[[#This Row],[Αρχή]]="O","Operable",IF(Standard[[#This Row],[Αρχή]]="U","Understandable",IF(Standard[[#This Row],[Αρχή]]="R","Robust"))))</f>
        <v>Understandable</v>
      </c>
    </row>
    <row r="46" spans="1:9" ht="16.5" thickBot="1" x14ac:dyDescent="0.3">
      <c r="A46" s="3" t="s">
        <v>196</v>
      </c>
      <c r="B46" s="4" t="s">
        <v>197</v>
      </c>
      <c r="C46" s="4" t="s">
        <v>198</v>
      </c>
      <c r="D46" s="4" t="s">
        <v>32</v>
      </c>
      <c r="E46" s="4" t="s">
        <v>173</v>
      </c>
      <c r="F46" s="4" t="s">
        <v>199</v>
      </c>
      <c r="G46" s="5" t="s">
        <v>195</v>
      </c>
      <c r="H46" s="5" t="str">
        <f t="shared" si="1"/>
        <v>3.3</v>
      </c>
      <c r="I46" s="5" t="str">
        <f>IF(Standard[[#This Row],[Αρχή]]="P","Perceivable",IF(Standard[[#This Row],[Αρχή]]="O","Operable",IF(Standard[[#This Row],[Αρχή]]="U","Understandable",IF(Standard[[#This Row],[Αρχή]]="R","Robust"))))</f>
        <v>Understandable</v>
      </c>
    </row>
    <row r="47" spans="1:9" ht="16.5" thickBot="1" x14ac:dyDescent="0.3">
      <c r="A47" s="6" t="s">
        <v>200</v>
      </c>
      <c r="B47" s="7" t="s">
        <v>201</v>
      </c>
      <c r="C47" s="7" t="s">
        <v>202</v>
      </c>
      <c r="D47" s="7" t="s">
        <v>51</v>
      </c>
      <c r="E47" s="7" t="s">
        <v>173</v>
      </c>
      <c r="F47" s="7" t="s">
        <v>199</v>
      </c>
      <c r="G47" s="5" t="s">
        <v>195</v>
      </c>
      <c r="H47" s="5" t="str">
        <f t="shared" si="1"/>
        <v>3.3</v>
      </c>
      <c r="I47" s="5" t="str">
        <f>IF(Standard[[#This Row],[Αρχή]]="P","Perceivable",IF(Standard[[#This Row],[Αρχή]]="O","Operable",IF(Standard[[#This Row],[Αρχή]]="U","Understandable",IF(Standard[[#This Row],[Αρχή]]="R","Robust"))))</f>
        <v>Understandable</v>
      </c>
    </row>
    <row r="48" spans="1:9" ht="32.25" thickBot="1" x14ac:dyDescent="0.3">
      <c r="A48" s="3" t="s">
        <v>203</v>
      </c>
      <c r="B48" s="4" t="s">
        <v>204</v>
      </c>
      <c r="C48" s="4" t="s">
        <v>205</v>
      </c>
      <c r="D48" s="4" t="s">
        <v>51</v>
      </c>
      <c r="E48" s="4" t="s">
        <v>173</v>
      </c>
      <c r="F48" s="4" t="s">
        <v>206</v>
      </c>
      <c r="G48" s="5" t="s">
        <v>195</v>
      </c>
      <c r="H48" s="5" t="str">
        <f t="shared" si="1"/>
        <v>3.3</v>
      </c>
      <c r="I48" s="5" t="str">
        <f>IF(Standard[[#This Row],[Αρχή]]="P","Perceivable",IF(Standard[[#This Row],[Αρχή]]="O","Operable",IF(Standard[[#This Row],[Αρχή]]="U","Understandable",IF(Standard[[#This Row],[Αρχή]]="R","Robust"))))</f>
        <v>Understandable</v>
      </c>
    </row>
    <row r="49" spans="1:9" ht="16.5" thickBot="1" x14ac:dyDescent="0.3">
      <c r="A49" s="6" t="s">
        <v>207</v>
      </c>
      <c r="B49" s="7" t="s">
        <v>208</v>
      </c>
      <c r="C49" s="7" t="s">
        <v>209</v>
      </c>
      <c r="D49" s="7" t="s">
        <v>32</v>
      </c>
      <c r="E49" s="7" t="s">
        <v>210</v>
      </c>
      <c r="F49" s="7" t="s">
        <v>211</v>
      </c>
      <c r="G49" s="5" t="s">
        <v>212</v>
      </c>
      <c r="H49" s="5" t="str">
        <f t="shared" si="1"/>
        <v>4.1</v>
      </c>
      <c r="I49" s="5" t="str">
        <f>IF(Standard[[#This Row],[Αρχή]]="P","Perceivable",IF(Standard[[#This Row],[Αρχή]]="O","Operable",IF(Standard[[#This Row],[Αρχή]]="U","Understandable",IF(Standard[[#This Row],[Αρχή]]="R","Robust"))))</f>
        <v>Robust</v>
      </c>
    </row>
    <row r="50" spans="1:9" ht="16.5" thickBot="1" x14ac:dyDescent="0.3">
      <c r="A50" s="3" t="s">
        <v>213</v>
      </c>
      <c r="B50" s="4" t="s">
        <v>8</v>
      </c>
      <c r="C50" s="4" t="s">
        <v>214</v>
      </c>
      <c r="D50" s="4" t="s">
        <v>32</v>
      </c>
      <c r="E50" s="4" t="s">
        <v>210</v>
      </c>
      <c r="F50" s="4" t="s">
        <v>215</v>
      </c>
      <c r="G50" s="5" t="s">
        <v>212</v>
      </c>
      <c r="H50" s="5" t="str">
        <f t="shared" si="1"/>
        <v>4.1</v>
      </c>
      <c r="I50" s="5" t="str">
        <f>IF(Standard[[#This Row],[Αρχή]]="P","Perceivable",IF(Standard[[#This Row],[Αρχή]]="O","Operable",IF(Standard[[#This Row],[Αρχή]]="U","Understandable",IF(Standard[[#This Row],[Αρχή]]="R","Robust"))))</f>
        <v>Robust</v>
      </c>
    </row>
    <row r="51" spans="1:9" ht="31.5" x14ac:dyDescent="0.25">
      <c r="A51" s="8" t="s">
        <v>216</v>
      </c>
      <c r="B51" s="5" t="s">
        <v>217</v>
      </c>
      <c r="C51" s="5" t="s">
        <v>218</v>
      </c>
      <c r="D51" s="5" t="s">
        <v>51</v>
      </c>
      <c r="E51" s="5" t="s">
        <v>210</v>
      </c>
      <c r="F51" s="5" t="s">
        <v>219</v>
      </c>
      <c r="G51" s="5" t="s">
        <v>212</v>
      </c>
      <c r="H51" s="5" t="str">
        <f t="shared" si="1"/>
        <v>4.1</v>
      </c>
      <c r="I51" s="5" t="str">
        <f>IF(Standard[[#This Row],[Αρχή]]="P","Perceivable",IF(Standard[[#This Row],[Αρχή]]="O","Operable",IF(Standard[[#This Row],[Αρχή]]="U","Understandable",IF(Standard[[#This Row],[Αρχή]]="R","Robust"))))</f>
        <v>Robust</v>
      </c>
    </row>
  </sheetData>
  <sheetProtection sheet="1" objects="1" scenarios="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1AA7C8-52A4-44E9-94BD-CE5370EF87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Dashboard</vt:lpstr>
      <vt:lpstr>Findings</vt:lpstr>
      <vt:lpstr>Analysis</vt:lpstr>
      <vt:lpstr>Compliance-pivot-analysis</vt:lpstr>
      <vt:lpstr>Non-compliance-pivot-analysis</vt:lpstr>
      <vt:lpstr>Non-compliance</vt:lpstr>
      <vt:lpstr>Compliance</vt:lpstr>
      <vt:lpstr>rawFindings</vt:lpstr>
      <vt:lpstr>Standard</vt:lpstr>
      <vt:lpstr>Dashboard!Print_Area</vt:lpstr>
      <vt:lpstr>Findings!Print_Area</vt:lpstr>
      <vt:lpstr>Findings!Print_Titles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Constantinos Evangelou</dc:creator>
  <cp:lastModifiedBy>Constantinos Evangelou</cp:lastModifiedBy>
  <cp:lastPrinted>2026-02-04T16:03:01Z</cp:lastPrinted>
  <dcterms:created xsi:type="dcterms:W3CDTF">2026-02-03T10:27:03Z</dcterms:created>
  <dcterms:modified xsi:type="dcterms:W3CDTF">2026-02-04T16:54:30Z</dcterms:modified>
</cp:coreProperties>
</file>